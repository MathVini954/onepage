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MatheusGonçalves\Downloads\"/>
    </mc:Choice>
  </mc:AlternateContent>
  <xr:revisionPtr revIDLastSave="0" documentId="8_{FDB39E84-1FBE-49C8-8B29-C7935EB0E970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JARDINS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4" i="2" l="1"/>
  <c r="D33" i="2"/>
  <c r="D32" i="2"/>
  <c r="D31" i="2"/>
  <c r="D30" i="2"/>
  <c r="D29" i="2"/>
  <c r="D28" i="2"/>
  <c r="C34" i="2"/>
  <c r="C33" i="2"/>
  <c r="C32" i="2"/>
  <c r="C31" i="2"/>
  <c r="C30" i="2"/>
  <c r="C29" i="2"/>
  <c r="C28" i="2"/>
  <c r="K48" i="2" l="1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2" i="2"/>
  <c r="E82" i="2"/>
  <c r="K81" i="2"/>
  <c r="E81" i="2"/>
  <c r="K80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</calcChain>
</file>

<file path=xl/sharedStrings.xml><?xml version="1.0" encoding="utf-8"?>
<sst xmlns="http://schemas.openxmlformats.org/spreadsheetml/2006/main" count="101" uniqueCount="94">
  <si>
    <t>RESUMO FINANCEIRO (INSIRA OS VALORES)</t>
  </si>
  <si>
    <t>ORÇAMENTO INICIAL (R$)</t>
  </si>
  <si>
    <t>ORÇAMENTO REAJUSTADO (R$)</t>
  </si>
  <si>
    <t>DESEMBOLSO ACUMULADO (R$)</t>
  </si>
  <si>
    <t>A PAGAR (R$)</t>
  </si>
  <si>
    <t>SALDO A INCORRER (R$)</t>
  </si>
  <si>
    <t>CUSTO FINAL (R$)</t>
  </si>
  <si>
    <t>VARIAÇÃO (R$)</t>
  </si>
  <si>
    <t>ÍNDICE PROJETADO (MÊS A MÊS)</t>
  </si>
  <si>
    <t>FINANCEIRO (DESEMBOLSO x MEDIDO)</t>
  </si>
  <si>
    <t>MÊS</t>
  </si>
  <si>
    <t>ÍNDICE PROJETADO</t>
  </si>
  <si>
    <t>DESEMBOLSO DO MÊS (R$)</t>
  </si>
  <si>
    <t>MEDIDO NO MÊS (R$)</t>
  </si>
  <si>
    <t>PRAZO (CURVA S)</t>
  </si>
  <si>
    <t>PLANEJADO ACUM. (%)</t>
  </si>
  <si>
    <t>ECONOMIAS E ACRÉSCIMOS (COLAR A LISTA DO MÊS) — SEM HISTÓRICO</t>
  </si>
  <si>
    <t>ACRÉSCIMOS</t>
  </si>
  <si>
    <t>ECONOMIAS</t>
  </si>
  <si>
    <t>DESCRIÇÃO</t>
  </si>
  <si>
    <t>ORÇAMENTO INICIAL</t>
  </si>
  <si>
    <t>ORÇAMENTO REAJUSTADO</t>
  </si>
  <si>
    <t>CUSTO FINAL</t>
  </si>
  <si>
    <t>VARIAÇÃO</t>
  </si>
  <si>
    <t>PLANEJADO MÊS (%)</t>
  </si>
  <si>
    <t>REALIZADO Mês (%)</t>
  </si>
  <si>
    <t>OUTROS EQUIPAMENTOS</t>
  </si>
  <si>
    <t>ATERRO E COMPACTAÇÃO</t>
  </si>
  <si>
    <t>OUTRAS FUNDAÇÕES ESPECIAIS - MALL</t>
  </si>
  <si>
    <t>MÃO DE OBRA INDIRETA (GESTÃO)</t>
  </si>
  <si>
    <t>MÃO DE OBRA INDIRETA (APOIO, LOGISTICA, SMS)</t>
  </si>
  <si>
    <t>BLOCO CERÂMICO - GARAGEM MALL</t>
  </si>
  <si>
    <t>RESERVATÓRIOS INFERIORES - MALL</t>
  </si>
  <si>
    <t>IMPLANTAÇÃO DO CANTEIRO</t>
  </si>
  <si>
    <t xml:space="preserve">LOCAÇÃO DE OBRA / GABARITO </t>
  </si>
  <si>
    <t>ENSAIOS</t>
  </si>
  <si>
    <t>REBAIXAMENTO DE LENÇOL FREÁTICO - GARAGENS TORRES</t>
  </si>
  <si>
    <t>CONSUMO DE ENERGIA ELÉTRICA</t>
  </si>
  <si>
    <t>ESCAVAÇÃO E CARGA -GARAGENS TORRES</t>
  </si>
  <si>
    <t>INSTALAÇÕES - HIDROSSANITÁRIA E DRENAGEM - GARAGEM MALL</t>
  </si>
  <si>
    <t>ESTACAS - TORRE A</t>
  </si>
  <si>
    <t>CONSUMO DE ÁGUA</t>
  </si>
  <si>
    <t>REBAIXAMENTO DE LENÇOL FREÁTICO - MALL</t>
  </si>
  <si>
    <t>ESCORAMENTO - MALL</t>
  </si>
  <si>
    <t>ATERRO E COMPACTAÇÃO- GARAGENS TORRES</t>
  </si>
  <si>
    <t>SAÚDE OCUPACIONAL</t>
  </si>
  <si>
    <t xml:space="preserve">PROGRAMAS E CAMPANHAS DE SEGURANÇA </t>
  </si>
  <si>
    <t xml:space="preserve">CONSUMO GERAL </t>
  </si>
  <si>
    <t>LICENÇAS E TAXAS</t>
  </si>
  <si>
    <t>LIMPEZA DE TERRENO E SUPRESSÃO VEGETAL</t>
  </si>
  <si>
    <t>INSTALAÇÕES DE GÁS - MALL</t>
  </si>
  <si>
    <t>INSTALAÇÕES DE SPDA - MALL</t>
  </si>
  <si>
    <t>INFRAESTRUTURA - SISTEMA DE DRENAGEM</t>
  </si>
  <si>
    <t>INSTALAÇÕES - ELÉTRICA - GARAGEM MALL</t>
  </si>
  <si>
    <t>REVESTIMENTO DE ARGAMASSA - GARAGEM MALL</t>
  </si>
  <si>
    <t>BLOCO DE CONCRETO - MALL</t>
  </si>
  <si>
    <t>REBOCO - MALL</t>
  </si>
  <si>
    <t>REVESTIMENTO DE ARGAMASSA - MALL</t>
  </si>
  <si>
    <t>LIMPEZA FINAL DE OBRA - GARAGEM MALL</t>
  </si>
  <si>
    <t>LIMPEZA DE FACHADA - GARAGEM MALL</t>
  </si>
  <si>
    <t>EQUIPAMENTOS DE PROTEÇÃO COLETIVA</t>
  </si>
  <si>
    <t>CONCRETO - MALL</t>
  </si>
  <si>
    <t>FORMA - MALL</t>
  </si>
  <si>
    <t>BLOCO, BALDRAMES, SAPATAS - MALL</t>
  </si>
  <si>
    <t>ARMAÇÃO - MALL</t>
  </si>
  <si>
    <t>INSTALAÇÕES - HIDROSSANITÁRIA E DRENAGEM - MALL</t>
  </si>
  <si>
    <t>ATERRO E COMPACTAÇÃO - MALL</t>
  </si>
  <si>
    <t>BLOCO CERÂMICO - MALL</t>
  </si>
  <si>
    <t>DESPESAS INDIRETAS - ALIMENTAÇÃO</t>
  </si>
  <si>
    <t>ARGAMASSA POLIMÉRICA - MALL</t>
  </si>
  <si>
    <t>INSTALAÇÕES DE INCÊNDIO - MALL</t>
  </si>
  <si>
    <t>SEGURANÇA PATRIMONIAL</t>
  </si>
  <si>
    <t>ESCAVAÇÃO E CARGA - MALL</t>
  </si>
  <si>
    <t>GRUA</t>
  </si>
  <si>
    <t>BLOCO, BALDRAMES, SAPATAS - TORRE A</t>
  </si>
  <si>
    <t>INSTALAÇÕES PROVISÓRIAS</t>
  </si>
  <si>
    <t>ESQUADRIA DE ALUMÍNIO - MALL</t>
  </si>
  <si>
    <t>ATERRO E COMPACTAÇÃO - TORRE A</t>
  </si>
  <si>
    <t>DESPESAS INDIRETAS  - TRANSPORTE</t>
  </si>
  <si>
    <t>BLOCO CERÂMICO - GARAGENS TORRES</t>
  </si>
  <si>
    <t>DEMOLIÇÕES</t>
  </si>
  <si>
    <t>CONTRAPISO - MALL</t>
  </si>
  <si>
    <t>EQUIPAMENTOS DE PROTEÇÃO INDIVIDUAL</t>
  </si>
  <si>
    <t>CONSULTORIAS</t>
  </si>
  <si>
    <t>INSTALAÇÕES - HIDROSSANITÁRIA E DRENAGEM - GARAGENS TORRES</t>
  </si>
  <si>
    <t>REDE ELÉTRICA - MALL</t>
  </si>
  <si>
    <t>INSTALAÇÕES - ELÉTRICA - MALL</t>
  </si>
  <si>
    <t>CONTENÇÃO - MALL</t>
  </si>
  <si>
    <t>FORMA - TORRE A</t>
  </si>
  <si>
    <t>REBAIXAMENTO DE LENÇOL FREÁTICO - TORRE A</t>
  </si>
  <si>
    <t>ESCAVAÇÃO E CARGA -TORRE A</t>
  </si>
  <si>
    <t>REBAIXAMENTO DE LENÇOL FREÁTICO</t>
  </si>
  <si>
    <t>INFRAESTRUTURA -  REDE ELÉTRICA</t>
  </si>
  <si>
    <t>GESTÃO DE RESÍDUOS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</si>
</sst>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R\$\ #,##0"/>
    <numFmt numFmtId="165" formatCode="mmm/yyyy"/>
    <numFmt numFmtId="166" formatCode="0.000"/>
    <numFmt numFmtId="167" formatCode="0.0000"/>
  </numFmts>
  <fonts count="6" x14ac:knownFonts="1">
    <font>
      <sz val="11"/>
      <color theme="1"/>
      <name val="Calibri"/>
      <family val="2"/>
      <scheme val="minor"/>
    </font>
    <font>
      <b/>
      <sz val="12"/>
      <color rgb="FFFFFFFF"/>
      <name val="Calibri"/>
    </font>
    <font>
      <b/>
      <sz val="10"/>
      <color rgb="FF111827"/>
      <name val="Calibri"/>
    </font>
    <font>
      <b/>
      <sz val="10"/>
      <color rgb="FFFFFFFF"/>
      <name val="Calibri"/>
    </font>
    <font>
      <b/>
      <sz val="12"/>
      <color rgb="FF000000"/>
      <name val="Calibri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3F4F6"/>
      </patternFill>
    </fill>
    <fill>
      <patternFill patternType="solid">
        <fgColor rgb="FFFFFFFF"/>
      </patternFill>
    </fill>
    <fill>
      <patternFill patternType="solid"/>
    </fill>
    <fill>
      <patternFill patternType="solid">
        <fgColor rgb="FFF8696B"/>
      </patternFill>
    </fill>
    <fill>
      <patternFill patternType="solid">
        <fgColor rgb="FF63BE7B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808080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24">
    <xf numFmtId="0" fontId="0" fillId="0" borderId="0" xfId="0"/>
    <xf numFmtId="0" fontId="2" fillId="0" borderId="1" xfId="0" applyFont="1" applyBorder="1" applyAlignment="1">
      <alignment horizontal="left" vertical="center" wrapText="1"/>
    </xf>
    <xf numFmtId="164" fontId="0" fillId="3" borderId="1" xfId="0" applyNumberFormat="1" applyFill="1" applyBorder="1"/>
    <xf numFmtId="0" fontId="3" fillId="5" borderId="1" xfId="0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 wrapText="1"/>
    </xf>
    <xf numFmtId="166" fontId="0" fillId="0" borderId="1" xfId="0" applyNumberFormat="1" applyBorder="1" applyAlignment="1">
      <alignment horizontal="right" vertical="center" wrapText="1"/>
    </xf>
    <xf numFmtId="164" fontId="0" fillId="0" borderId="1" xfId="0" applyNumberFormat="1" applyBorder="1" applyAlignment="1">
      <alignment horizontal="right" vertical="center" wrapText="1"/>
    </xf>
    <xf numFmtId="0" fontId="0" fillId="4" borderId="1" xfId="0" applyFill="1" applyBorder="1"/>
    <xf numFmtId="0" fontId="0" fillId="0" borderId="1" xfId="0" applyBorder="1" applyAlignment="1">
      <alignment horizontal="left" vertical="center" wrapText="1"/>
    </xf>
    <xf numFmtId="0" fontId="1" fillId="2" borderId="0" xfId="0" applyFont="1" applyFill="1" applyAlignment="1">
      <alignment vertical="center" wrapText="1"/>
    </xf>
    <xf numFmtId="0" fontId="1" fillId="8" borderId="0" xfId="0" applyFont="1" applyFill="1" applyAlignment="1">
      <alignment vertical="center" wrapText="1"/>
    </xf>
    <xf numFmtId="0" fontId="1" fillId="2" borderId="2" xfId="0" applyFont="1" applyFill="1" applyBorder="1" applyAlignment="1">
      <alignment vertical="center" wrapText="1"/>
    </xf>
    <xf numFmtId="167" fontId="0" fillId="0" borderId="1" xfId="0" applyNumberFormat="1" applyBorder="1" applyAlignment="1">
      <alignment horizontal="right" vertical="center" wrapText="1"/>
    </xf>
    <xf numFmtId="10" fontId="0" fillId="0" borderId="1" xfId="1" applyNumberFormat="1" applyFont="1" applyBorder="1" applyAlignment="1">
      <alignment horizontal="right" vertical="center" wrapText="1"/>
    </xf>
    <xf numFmtId="10" fontId="0" fillId="0" borderId="1" xfId="1" applyNumberFormat="1" applyFont="1" applyBorder="1" applyAlignment="1">
      <alignment horizontal="center" vertical="center" wrapText="1"/>
    </xf>
    <xf numFmtId="9" fontId="0" fillId="0" borderId="0" xfId="1" applyFont="1"/>
    <xf numFmtId="0" fontId="4" fillId="6" borderId="1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left" vertical="center" wrapText="1"/>
    </xf>
    <xf numFmtId="0" fontId="0" fillId="0" borderId="1" xfId="0" applyBorder="1"/>
    <xf numFmtId="0" fontId="1" fillId="2" borderId="2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0" fillId="0" borderId="0" xfId="0"/>
    <xf numFmtId="0" fontId="2" fillId="4" borderId="1" xfId="0" applyFont="1" applyFill="1" applyBorder="1" applyAlignment="1">
      <alignment horizontal="left" vertical="center" wrapText="1"/>
    </xf>
  </cellXfs>
  <cellStyles count="2">
    <cellStyle name="Normal" xfId="0" builtinId="0"/>
    <cellStyle name="Porcentagem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82"/>
  <sheetViews>
    <sheetView showGridLines="0" tabSelected="1" zoomScale="85" zoomScaleNormal="85" workbookViewId="0">
      <selection activeCell="E12" sqref="E12"/>
    </sheetView>
  </sheetViews>
  <sheetFormatPr defaultRowHeight="15" x14ac:dyDescent="0.25"/>
  <cols>
    <col min="1" max="1" width="38" customWidth="1"/>
    <col min="2" max="2" width="18" customWidth="1"/>
    <col min="3" max="3" width="20" customWidth="1"/>
    <col min="4" max="5" width="16" customWidth="1"/>
    <col min="6" max="6" width="18" bestFit="1" customWidth="1"/>
    <col min="7" max="7" width="27.42578125" bestFit="1" customWidth="1"/>
    <col min="8" max="8" width="17.5703125" bestFit="1" customWidth="1"/>
    <col min="9" max="9" width="20" customWidth="1"/>
    <col min="10" max="11" width="16" customWidth="1"/>
    <col min="12" max="12" width="3" customWidth="1"/>
    <col min="13" max="13" width="24" customWidth="1"/>
    <col min="14" max="14" width="18" customWidth="1"/>
  </cols>
  <sheetData>
    <row r="1" spans="1:6" x14ac:dyDescent="0.25">
      <c r="A1" s="21" t="s">
        <v>0</v>
      </c>
      <c r="B1" s="22"/>
      <c r="C1" s="22"/>
      <c r="D1" s="22"/>
    </row>
    <row r="2" spans="1:6" x14ac:dyDescent="0.25">
      <c r="A2" s="1" t="s">
        <v>1</v>
      </c>
      <c r="B2" s="2">
        <v>95747955.186726287</v>
      </c>
      <c r="C2" s="23"/>
      <c r="D2" s="19"/>
    </row>
    <row r="3" spans="1:6" x14ac:dyDescent="0.25">
      <c r="A3" s="1" t="s">
        <v>2</v>
      </c>
      <c r="B3" s="2">
        <v>105200786.35920349</v>
      </c>
      <c r="C3" s="18"/>
      <c r="D3" s="19"/>
    </row>
    <row r="4" spans="1:6" x14ac:dyDescent="0.25">
      <c r="A4" s="1" t="s">
        <v>3</v>
      </c>
      <c r="B4" s="2">
        <v>12614520.059999999</v>
      </c>
      <c r="C4" s="18"/>
      <c r="D4" s="19"/>
    </row>
    <row r="5" spans="1:6" x14ac:dyDescent="0.25">
      <c r="A5" s="1" t="s">
        <v>4</v>
      </c>
      <c r="B5" s="2">
        <v>946208.07000000007</v>
      </c>
      <c r="C5" s="18"/>
      <c r="D5" s="19"/>
    </row>
    <row r="6" spans="1:6" x14ac:dyDescent="0.25">
      <c r="A6" s="1" t="s">
        <v>5</v>
      </c>
      <c r="B6" s="2">
        <v>92218059.733999401</v>
      </c>
      <c r="C6" s="18"/>
      <c r="D6" s="19"/>
    </row>
    <row r="7" spans="1:6" x14ac:dyDescent="0.25">
      <c r="A7" s="1" t="s">
        <v>6</v>
      </c>
      <c r="B7" s="2">
        <v>105778787.86399938</v>
      </c>
      <c r="C7" s="18"/>
      <c r="D7" s="19"/>
    </row>
    <row r="8" spans="1:6" x14ac:dyDescent="0.25">
      <c r="A8" s="1" t="s">
        <v>7</v>
      </c>
      <c r="B8" s="2">
        <v>578001.50479591498</v>
      </c>
      <c r="C8" s="18"/>
      <c r="D8" s="19"/>
    </row>
    <row r="10" spans="1:6" ht="15" customHeight="1" x14ac:dyDescent="0.25">
      <c r="A10" s="21" t="s">
        <v>8</v>
      </c>
      <c r="B10" s="22"/>
      <c r="D10" s="20" t="s">
        <v>9</v>
      </c>
      <c r="E10" s="20"/>
      <c r="F10" s="20"/>
    </row>
    <row r="11" spans="1:6" ht="25.5" x14ac:dyDescent="0.25">
      <c r="A11" s="3" t="s">
        <v>10</v>
      </c>
      <c r="B11" s="3" t="s">
        <v>11</v>
      </c>
      <c r="D11" s="3" t="s">
        <v>10</v>
      </c>
      <c r="E11" s="3" t="s">
        <v>12</v>
      </c>
      <c r="F11" s="3" t="s">
        <v>13</v>
      </c>
    </row>
    <row r="12" spans="1:6" x14ac:dyDescent="0.25">
      <c r="A12" s="4">
        <v>46023</v>
      </c>
      <c r="B12" s="12">
        <v>1.0055000000000001</v>
      </c>
      <c r="D12" s="4">
        <v>46023</v>
      </c>
      <c r="E12" s="6">
        <v>575897.10752003558</v>
      </c>
      <c r="F12" s="6">
        <v>1934143.2499599508</v>
      </c>
    </row>
    <row r="13" spans="1:6" x14ac:dyDescent="0.25">
      <c r="A13" s="4">
        <v>46054</v>
      </c>
      <c r="B13" s="5"/>
      <c r="D13" s="4">
        <v>46054</v>
      </c>
      <c r="E13" s="6"/>
      <c r="F13" s="6"/>
    </row>
    <row r="14" spans="1:6" x14ac:dyDescent="0.25">
      <c r="A14" s="4">
        <v>46082</v>
      </c>
      <c r="B14" s="5"/>
      <c r="D14" s="4">
        <v>46082</v>
      </c>
      <c r="E14" s="6"/>
      <c r="F14" s="6"/>
    </row>
    <row r="15" spans="1:6" x14ac:dyDescent="0.25">
      <c r="A15" s="4">
        <v>46113</v>
      </c>
      <c r="B15" s="5"/>
      <c r="D15" s="4">
        <v>46113</v>
      </c>
      <c r="E15" s="6"/>
      <c r="F15" s="6"/>
    </row>
    <row r="16" spans="1:6" x14ac:dyDescent="0.25">
      <c r="A16" s="4">
        <v>46143</v>
      </c>
      <c r="B16" s="5"/>
      <c r="D16" s="4">
        <v>46143</v>
      </c>
      <c r="E16" s="6"/>
      <c r="F16" s="6"/>
    </row>
    <row r="17" spans="1:8" x14ac:dyDescent="0.25">
      <c r="A17" s="4">
        <v>46174</v>
      </c>
      <c r="B17" s="5"/>
      <c r="D17" s="4">
        <v>46174</v>
      </c>
      <c r="E17" s="6"/>
      <c r="F17" s="6"/>
    </row>
    <row r="18" spans="1:8" x14ac:dyDescent="0.25">
      <c r="A18" s="4">
        <v>46204</v>
      </c>
      <c r="B18" s="5"/>
      <c r="D18" s="4">
        <v>46204</v>
      </c>
      <c r="E18" s="6"/>
      <c r="F18" s="6"/>
    </row>
    <row r="19" spans="1:8" x14ac:dyDescent="0.25">
      <c r="A19" s="4">
        <v>46235</v>
      </c>
      <c r="B19" s="5"/>
      <c r="D19" s="4">
        <v>46235</v>
      </c>
      <c r="E19" s="6"/>
      <c r="F19" s="6"/>
    </row>
    <row r="20" spans="1:8" x14ac:dyDescent="0.25">
      <c r="A20" s="4">
        <v>46266</v>
      </c>
      <c r="B20" s="5"/>
      <c r="D20" s="4">
        <v>46266</v>
      </c>
      <c r="E20" s="6"/>
      <c r="F20" s="6"/>
    </row>
    <row r="21" spans="1:8" x14ac:dyDescent="0.25">
      <c r="A21" s="4">
        <v>46296</v>
      </c>
      <c r="B21" s="5"/>
      <c r="D21" s="4">
        <v>46296</v>
      </c>
      <c r="E21" s="6"/>
      <c r="F21" s="6"/>
    </row>
    <row r="22" spans="1:8" x14ac:dyDescent="0.25">
      <c r="A22" s="4">
        <v>46327</v>
      </c>
      <c r="B22" s="5"/>
      <c r="D22" s="4">
        <v>46327</v>
      </c>
      <c r="E22" s="6"/>
      <c r="F22" s="6"/>
    </row>
    <row r="23" spans="1:8" x14ac:dyDescent="0.25">
      <c r="A23" s="4">
        <v>46357</v>
      </c>
      <c r="B23" s="5"/>
      <c r="D23" s="4">
        <v>46357</v>
      </c>
      <c r="E23" s="6"/>
      <c r="F23" s="6"/>
    </row>
    <row r="26" spans="1:8" ht="15.75" customHeight="1" x14ac:dyDescent="0.25">
      <c r="A26" s="11" t="s">
        <v>14</v>
      </c>
      <c r="B26" s="11"/>
      <c r="C26" s="11"/>
      <c r="D26" s="11"/>
      <c r="F26" s="10"/>
      <c r="G26" s="10"/>
      <c r="H26" s="10"/>
    </row>
    <row r="27" spans="1:8" ht="25.5" x14ac:dyDescent="0.25">
      <c r="A27" s="3" t="s">
        <v>10</v>
      </c>
      <c r="B27" s="3" t="s">
        <v>15</v>
      </c>
      <c r="C27" s="3" t="s">
        <v>24</v>
      </c>
      <c r="D27" s="3" t="s">
        <v>25</v>
      </c>
      <c r="F27" s="10"/>
      <c r="G27" s="10"/>
      <c r="H27" s="10"/>
    </row>
    <row r="28" spans="1:8" ht="15" customHeight="1" x14ac:dyDescent="0.25">
      <c r="A28" s="4">
        <v>45809</v>
      </c>
      <c r="B28" s="13">
        <v>4.9599999999999998E-2</v>
      </c>
      <c r="C28" s="14">
        <f>B28</f>
        <v>4.9599999999999998E-2</v>
      </c>
      <c r="D28" s="14">
        <f>C28</f>
        <v>4.9599999999999998E-2</v>
      </c>
      <c r="F28" s="10"/>
      <c r="G28" s="10"/>
      <c r="H28" s="10"/>
    </row>
    <row r="29" spans="1:8" ht="15" customHeight="1" x14ac:dyDescent="0.25">
      <c r="A29" s="4">
        <v>45839</v>
      </c>
      <c r="B29" s="13">
        <v>8.4400000000000003E-2</v>
      </c>
      <c r="C29" s="14">
        <f>B29-B28</f>
        <v>3.4800000000000005E-2</v>
      </c>
      <c r="D29" s="14">
        <f>E29-D28</f>
        <v>3.1599999999999996E-2</v>
      </c>
      <c r="E29" s="15">
        <v>8.1199999999999994E-2</v>
      </c>
      <c r="F29" s="10"/>
      <c r="G29" s="10"/>
      <c r="H29" s="10"/>
    </row>
    <row r="30" spans="1:8" ht="15" customHeight="1" x14ac:dyDescent="0.25">
      <c r="A30" s="4">
        <v>45870</v>
      </c>
      <c r="B30" s="13">
        <v>0.14549999999999999</v>
      </c>
      <c r="C30" s="14">
        <f t="shared" ref="C30:C34" si="0">B30-B29</f>
        <v>6.1099999999999988E-2</v>
      </c>
      <c r="D30" s="14">
        <f>E30-E29</f>
        <v>3.15E-2</v>
      </c>
      <c r="E30" s="15">
        <v>0.11269999999999999</v>
      </c>
      <c r="F30" s="10"/>
      <c r="G30" s="10"/>
      <c r="H30" s="10"/>
    </row>
    <row r="31" spans="1:8" ht="15" customHeight="1" x14ac:dyDescent="0.25">
      <c r="A31" s="4">
        <v>45901</v>
      </c>
      <c r="B31" s="13">
        <v>0.2046</v>
      </c>
      <c r="C31" s="14">
        <f t="shared" si="0"/>
        <v>5.9100000000000014E-2</v>
      </c>
      <c r="D31" s="14">
        <f t="shared" ref="D31:D34" si="1">E31-E30</f>
        <v>5.0300000000000011E-2</v>
      </c>
      <c r="E31" s="15">
        <v>0.16300000000000001</v>
      </c>
      <c r="F31" s="10"/>
      <c r="G31" s="10"/>
      <c r="H31" s="10"/>
    </row>
    <row r="32" spans="1:8" ht="15" customHeight="1" x14ac:dyDescent="0.25">
      <c r="A32" s="4">
        <v>45931</v>
      </c>
      <c r="B32" s="13">
        <v>0.28999999999999998</v>
      </c>
      <c r="C32" s="14">
        <f t="shared" si="0"/>
        <v>8.5399999999999976E-2</v>
      </c>
      <c r="D32" s="14">
        <f t="shared" si="1"/>
        <v>4.9799999999999983E-2</v>
      </c>
      <c r="E32" s="15">
        <v>0.21279999999999999</v>
      </c>
      <c r="F32" s="10"/>
      <c r="G32" s="10"/>
      <c r="H32" s="10"/>
    </row>
    <row r="33" spans="1:11" ht="15" customHeight="1" x14ac:dyDescent="0.25">
      <c r="A33" s="4">
        <v>45962</v>
      </c>
      <c r="B33" s="13">
        <v>0.35980000000000001</v>
      </c>
      <c r="C33" s="14">
        <f t="shared" si="0"/>
        <v>6.9800000000000029E-2</v>
      </c>
      <c r="D33" s="14">
        <f t="shared" si="1"/>
        <v>5.4700000000000026E-2</v>
      </c>
      <c r="E33" s="15">
        <v>0.26750000000000002</v>
      </c>
      <c r="F33" s="10"/>
      <c r="G33" s="10"/>
      <c r="H33" s="10"/>
    </row>
    <row r="34" spans="1:11" ht="15" customHeight="1" x14ac:dyDescent="0.25">
      <c r="A34" s="4">
        <v>45992</v>
      </c>
      <c r="B34" s="13">
        <v>0.41889999999999999</v>
      </c>
      <c r="C34" s="14">
        <f t="shared" si="0"/>
        <v>5.9099999999999986E-2</v>
      </c>
      <c r="D34" s="14">
        <f t="shared" si="1"/>
        <v>3.8999999999999979E-2</v>
      </c>
      <c r="E34" s="15">
        <v>0.30649999999999999</v>
      </c>
      <c r="F34" s="10"/>
      <c r="G34" s="10"/>
      <c r="H34" s="10"/>
    </row>
    <row r="35" spans="1:11" ht="15" customHeight="1" x14ac:dyDescent="0.25">
      <c r="A35" s="4">
        <v>46023</v>
      </c>
      <c r="B35" s="13"/>
      <c r="C35" s="14"/>
      <c r="D35" s="14"/>
      <c r="F35" s="10"/>
      <c r="G35" s="10"/>
      <c r="H35" s="10"/>
    </row>
    <row r="36" spans="1:11" ht="15" customHeight="1" x14ac:dyDescent="0.25">
      <c r="A36" s="4">
        <v>46054</v>
      </c>
      <c r="B36" s="13"/>
      <c r="C36" s="14"/>
      <c r="D36" s="14"/>
      <c r="F36" s="10"/>
      <c r="G36" s="10"/>
      <c r="H36" s="10"/>
    </row>
    <row r="37" spans="1:11" ht="15" customHeight="1" x14ac:dyDescent="0.25">
      <c r="A37" s="4">
        <v>46082</v>
      </c>
      <c r="B37" s="13"/>
      <c r="C37" s="14"/>
      <c r="D37" s="14"/>
      <c r="F37" s="10"/>
      <c r="G37" s="10"/>
      <c r="H37" s="10"/>
    </row>
    <row r="38" spans="1:11" ht="15" customHeight="1" x14ac:dyDescent="0.25">
      <c r="A38" s="4">
        <v>46113</v>
      </c>
      <c r="B38" s="13"/>
      <c r="C38" s="14"/>
      <c r="D38" s="14"/>
      <c r="F38" s="10"/>
      <c r="G38" s="10"/>
      <c r="H38" s="10"/>
    </row>
    <row r="39" spans="1:11" ht="15" customHeight="1" x14ac:dyDescent="0.25">
      <c r="A39" s="4">
        <v>46143</v>
      </c>
      <c r="B39" s="13"/>
      <c r="C39" s="14"/>
      <c r="D39" s="14"/>
      <c r="F39" s="10"/>
      <c r="G39" s="10"/>
      <c r="H39" s="10"/>
    </row>
    <row r="40" spans="1:11" ht="15" customHeight="1" x14ac:dyDescent="0.25">
      <c r="A40" s="4">
        <v>46174</v>
      </c>
      <c r="B40" s="13"/>
      <c r="C40" s="14"/>
      <c r="D40" s="14"/>
      <c r="F40" s="10"/>
      <c r="G40" s="10"/>
      <c r="H40" s="10"/>
    </row>
    <row r="41" spans="1:11" ht="15" customHeight="1" x14ac:dyDescent="0.25">
      <c r="A41" s="4">
        <v>46204</v>
      </c>
      <c r="B41" s="13"/>
      <c r="C41" s="14"/>
      <c r="D41" s="14"/>
      <c r="F41" s="10"/>
      <c r="G41" s="10"/>
      <c r="H41" s="10"/>
    </row>
    <row r="42" spans="1:11" ht="15" customHeight="1" x14ac:dyDescent="0.25">
      <c r="A42" s="4">
        <v>46235</v>
      </c>
      <c r="B42" s="13"/>
      <c r="C42" s="14"/>
      <c r="D42" s="14"/>
      <c r="F42" s="10"/>
      <c r="G42" s="10"/>
      <c r="H42" s="10"/>
    </row>
    <row r="43" spans="1:11" ht="15" customHeight="1" x14ac:dyDescent="0.25">
      <c r="A43" s="4">
        <v>46266</v>
      </c>
      <c r="B43" s="13"/>
      <c r="C43" s="14"/>
      <c r="D43" s="14"/>
      <c r="F43" s="10"/>
      <c r="G43" s="10"/>
      <c r="H43" s="10"/>
    </row>
    <row r="45" spans="1:11" ht="15" customHeight="1" x14ac:dyDescent="0.25">
      <c r="A45" s="9" t="s">
        <v>16</v>
      </c>
    </row>
    <row r="46" spans="1:11" ht="15.75" x14ac:dyDescent="0.25">
      <c r="A46" s="16" t="s">
        <v>17</v>
      </c>
      <c r="B46" s="16"/>
      <c r="C46" s="16"/>
      <c r="D46" s="16"/>
      <c r="E46" s="16"/>
      <c r="F46" s="7"/>
      <c r="G46" s="17" t="s">
        <v>18</v>
      </c>
      <c r="H46" s="17"/>
      <c r="I46" s="17"/>
      <c r="J46" s="17"/>
      <c r="K46" s="17"/>
    </row>
    <row r="47" spans="1:11" ht="25.5" x14ac:dyDescent="0.25">
      <c r="A47" s="3" t="s">
        <v>19</v>
      </c>
      <c r="B47" s="3" t="s">
        <v>20</v>
      </c>
      <c r="C47" s="3" t="s">
        <v>21</v>
      </c>
      <c r="D47" s="3" t="s">
        <v>22</v>
      </c>
      <c r="E47" s="3" t="s">
        <v>23</v>
      </c>
      <c r="F47" s="7"/>
      <c r="G47" s="3" t="s">
        <v>19</v>
      </c>
      <c r="H47" s="3" t="s">
        <v>20</v>
      </c>
      <c r="I47" s="3" t="s">
        <v>21</v>
      </c>
      <c r="J47" s="3" t="s">
        <v>22</v>
      </c>
      <c r="K47" s="3" t="s">
        <v>23</v>
      </c>
    </row>
    <row r="48" spans="1:11" x14ac:dyDescent="0.25">
      <c r="A48" s="8" t="s">
        <v>60</v>
      </c>
      <c r="B48" s="6">
        <v>1216262.5412240268</v>
      </c>
      <c r="C48" s="6">
        <v>1336320.8179285727</v>
      </c>
      <c r="D48" s="6">
        <v>1841541.069215633</v>
      </c>
      <c r="E48" s="6">
        <f t="shared" ref="E48:E82" si="2">D48-C48</f>
        <v>505220.25128706032</v>
      </c>
      <c r="G48" s="8" t="s">
        <v>26</v>
      </c>
      <c r="H48" s="6">
        <v>1101312</v>
      </c>
      <c r="I48" s="6">
        <v>1210536.6124694173</v>
      </c>
      <c r="J48" s="6">
        <v>533173.59053115034</v>
      </c>
      <c r="K48" s="6">
        <f t="shared" ref="K48:K82" si="3">J48-I48</f>
        <v>-677363.02193826693</v>
      </c>
    </row>
    <row r="49" spans="1:11" x14ac:dyDescent="0.25">
      <c r="A49" s="8" t="s">
        <v>61</v>
      </c>
      <c r="B49" s="6">
        <v>787917.97424137034</v>
      </c>
      <c r="C49" s="6">
        <v>865103.87747254525</v>
      </c>
      <c r="D49" s="6">
        <v>1325255.8654901136</v>
      </c>
      <c r="E49" s="6">
        <f t="shared" si="2"/>
        <v>460151.98801756836</v>
      </c>
      <c r="G49" s="8" t="s">
        <v>27</v>
      </c>
      <c r="H49" s="6">
        <v>403562.30499999999</v>
      </c>
      <c r="I49" s="6">
        <v>443072.80328695953</v>
      </c>
      <c r="J49" s="6">
        <v>38000</v>
      </c>
      <c r="K49" s="6">
        <f t="shared" si="3"/>
        <v>-405072.80328695953</v>
      </c>
    </row>
    <row r="50" spans="1:11" ht="30" x14ac:dyDescent="0.25">
      <c r="A50" s="8" t="s">
        <v>62</v>
      </c>
      <c r="B50" s="6">
        <v>1081269.0394285447</v>
      </c>
      <c r="C50" s="6">
        <v>1180224.1933234031</v>
      </c>
      <c r="D50" s="6">
        <v>1575361.2945652129</v>
      </c>
      <c r="E50" s="6">
        <f t="shared" si="2"/>
        <v>395137.10124180978</v>
      </c>
      <c r="G50" s="8" t="s">
        <v>28</v>
      </c>
      <c r="H50" s="6">
        <v>1036308.4188272201</v>
      </c>
      <c r="I50" s="6">
        <v>1118067.7117323838</v>
      </c>
      <c r="J50" s="6">
        <v>751528.91999999981</v>
      </c>
      <c r="K50" s="6">
        <f t="shared" si="3"/>
        <v>-366538.79173238401</v>
      </c>
    </row>
    <row r="51" spans="1:11" ht="30" x14ac:dyDescent="0.25">
      <c r="A51" s="8" t="s">
        <v>63</v>
      </c>
      <c r="B51" s="6">
        <v>250122.70634257342</v>
      </c>
      <c r="C51" s="6">
        <v>265372.60115608358</v>
      </c>
      <c r="D51" s="6">
        <v>595980.34900000005</v>
      </c>
      <c r="E51" s="6">
        <f t="shared" si="2"/>
        <v>330607.74784391647</v>
      </c>
      <c r="G51" s="8" t="s">
        <v>29</v>
      </c>
      <c r="H51" s="6">
        <v>6552768.188609994</v>
      </c>
      <c r="I51" s="6">
        <v>7195275.1540455455</v>
      </c>
      <c r="J51" s="6">
        <v>6979643.0849913238</v>
      </c>
      <c r="K51" s="6">
        <f t="shared" si="3"/>
        <v>-215632.06905422173</v>
      </c>
    </row>
    <row r="52" spans="1:11" ht="30" x14ac:dyDescent="0.25">
      <c r="A52" s="8" t="s">
        <v>64</v>
      </c>
      <c r="B52" s="6">
        <v>1047250.9327280399</v>
      </c>
      <c r="C52" s="6">
        <v>1146718.0595562137</v>
      </c>
      <c r="D52" s="6">
        <v>1402124.0727673639</v>
      </c>
      <c r="E52" s="6">
        <f t="shared" si="2"/>
        <v>255406.01321115019</v>
      </c>
      <c r="G52" s="8" t="s">
        <v>30</v>
      </c>
      <c r="H52" s="6">
        <v>2281769.9259050437</v>
      </c>
      <c r="I52" s="6">
        <v>2510358.2682443662</v>
      </c>
      <c r="J52" s="6">
        <v>2379797.2632925045</v>
      </c>
      <c r="K52" s="6">
        <f t="shared" si="3"/>
        <v>-130561.00495186169</v>
      </c>
    </row>
    <row r="53" spans="1:11" ht="30" x14ac:dyDescent="0.25">
      <c r="A53" s="8" t="s">
        <v>65</v>
      </c>
      <c r="B53" s="6">
        <v>189595.55537503742</v>
      </c>
      <c r="C53" s="6">
        <v>208416.6173458405</v>
      </c>
      <c r="D53" s="6">
        <v>333578.6578235419</v>
      </c>
      <c r="E53" s="6">
        <f t="shared" si="2"/>
        <v>125162.0404777014</v>
      </c>
      <c r="G53" s="8" t="s">
        <v>31</v>
      </c>
      <c r="H53" s="6">
        <v>120468.97134808052</v>
      </c>
      <c r="I53" s="6">
        <v>132557.10971606863</v>
      </c>
      <c r="J53" s="6">
        <v>20969.447752317341</v>
      </c>
      <c r="K53" s="6">
        <f t="shared" si="3"/>
        <v>-111587.66196375129</v>
      </c>
    </row>
    <row r="54" spans="1:11" ht="30" x14ac:dyDescent="0.25">
      <c r="A54" s="8" t="s">
        <v>66</v>
      </c>
      <c r="B54" s="6">
        <v>35576.962500000001</v>
      </c>
      <c r="C54" s="6">
        <v>37531.593955946548</v>
      </c>
      <c r="D54" s="6">
        <v>152743.4745762712</v>
      </c>
      <c r="E54" s="6">
        <f t="shared" si="2"/>
        <v>115211.88062032465</v>
      </c>
      <c r="G54" s="8" t="s">
        <v>32</v>
      </c>
      <c r="H54" s="6">
        <v>185998.57226161737</v>
      </c>
      <c r="I54" s="6">
        <v>204299.65945951885</v>
      </c>
      <c r="J54" s="6">
        <v>94776.724043233306</v>
      </c>
      <c r="K54" s="6">
        <f t="shared" si="3"/>
        <v>-109522.93541628555</v>
      </c>
    </row>
    <row r="55" spans="1:11" x14ac:dyDescent="0.25">
      <c r="A55" s="8" t="s">
        <v>67</v>
      </c>
      <c r="B55" s="6">
        <v>269218.88064693363</v>
      </c>
      <c r="C55" s="6">
        <v>296070.49249754817</v>
      </c>
      <c r="D55" s="6">
        <v>410512.39612769004</v>
      </c>
      <c r="E55" s="6">
        <f t="shared" si="2"/>
        <v>114441.90363014187</v>
      </c>
      <c r="G55" s="8" t="s">
        <v>33</v>
      </c>
      <c r="H55" s="6">
        <v>604831.16726196418</v>
      </c>
      <c r="I55" s="6">
        <v>652420.25918788638</v>
      </c>
      <c r="J55" s="6">
        <v>586020.30520370253</v>
      </c>
      <c r="K55" s="6">
        <f t="shared" si="3"/>
        <v>-66399.953984183841</v>
      </c>
    </row>
    <row r="56" spans="1:11" ht="30" x14ac:dyDescent="0.25">
      <c r="A56" s="8" t="s">
        <v>68</v>
      </c>
      <c r="B56" s="6">
        <v>2275680</v>
      </c>
      <c r="C56" s="6">
        <v>2501909.6648655371</v>
      </c>
      <c r="D56" s="6">
        <v>2599681.689378371</v>
      </c>
      <c r="E56" s="6">
        <f t="shared" si="2"/>
        <v>97772.024512833916</v>
      </c>
      <c r="G56" s="8" t="s">
        <v>34</v>
      </c>
      <c r="H56" s="6">
        <v>80220.992928192107</v>
      </c>
      <c r="I56" s="6">
        <v>87925.838322273572</v>
      </c>
      <c r="J56" s="6">
        <v>25430.606402661393</v>
      </c>
      <c r="K56" s="6">
        <f t="shared" si="3"/>
        <v>-62495.231919612183</v>
      </c>
    </row>
    <row r="57" spans="1:11" x14ac:dyDescent="0.25">
      <c r="A57" s="8" t="s">
        <v>69</v>
      </c>
      <c r="B57" s="6">
        <v>57252.814142904615</v>
      </c>
      <c r="C57" s="6">
        <v>62997.695431186396</v>
      </c>
      <c r="D57" s="6">
        <v>158776.37321059153</v>
      </c>
      <c r="E57" s="6">
        <f t="shared" si="2"/>
        <v>95778.67777940513</v>
      </c>
      <c r="G57" s="8" t="s">
        <v>35</v>
      </c>
      <c r="H57" s="6">
        <v>248668.76290445638</v>
      </c>
      <c r="I57" s="6">
        <v>272033.68041880854</v>
      </c>
      <c r="J57" s="6">
        <v>217057.60693628585</v>
      </c>
      <c r="K57" s="6">
        <f t="shared" si="3"/>
        <v>-54976.073482522683</v>
      </c>
    </row>
    <row r="58" spans="1:11" ht="45" x14ac:dyDescent="0.25">
      <c r="A58" s="8" t="s">
        <v>70</v>
      </c>
      <c r="B58" s="6">
        <v>107826.33696189984</v>
      </c>
      <c r="C58" s="6">
        <v>118611.83348175029</v>
      </c>
      <c r="D58" s="6">
        <v>207987.21348175028</v>
      </c>
      <c r="E58" s="6">
        <f t="shared" si="2"/>
        <v>89375.37999999999</v>
      </c>
      <c r="G58" s="8" t="s">
        <v>36</v>
      </c>
      <c r="H58" s="6">
        <v>47400</v>
      </c>
      <c r="I58" s="6">
        <v>52156.226870959872</v>
      </c>
      <c r="J58" s="6">
        <v>0</v>
      </c>
      <c r="K58" s="6">
        <f t="shared" si="3"/>
        <v>-52156.226870959872</v>
      </c>
    </row>
    <row r="59" spans="1:11" ht="30" x14ac:dyDescent="0.25">
      <c r="A59" s="8" t="s">
        <v>71</v>
      </c>
      <c r="B59" s="6">
        <v>375221.55324750004</v>
      </c>
      <c r="C59" s="6">
        <v>408621.10441633413</v>
      </c>
      <c r="D59" s="6">
        <v>487685.09721314698</v>
      </c>
      <c r="E59" s="6">
        <f t="shared" si="2"/>
        <v>79063.992796812847</v>
      </c>
      <c r="G59" s="8" t="s">
        <v>37</v>
      </c>
      <c r="H59" s="6">
        <v>323000</v>
      </c>
      <c r="I59" s="6">
        <v>354939.64977887005</v>
      </c>
      <c r="J59" s="6">
        <v>305485.09274884663</v>
      </c>
      <c r="K59" s="6">
        <f t="shared" si="3"/>
        <v>-49454.557030023425</v>
      </c>
    </row>
    <row r="60" spans="1:11" ht="30" x14ac:dyDescent="0.25">
      <c r="A60" s="8" t="s">
        <v>72</v>
      </c>
      <c r="B60" s="6">
        <v>56042.988911999993</v>
      </c>
      <c r="C60" s="6">
        <v>60314.360595320351</v>
      </c>
      <c r="D60" s="6">
        <v>133693.47999999998</v>
      </c>
      <c r="E60" s="6">
        <f t="shared" si="2"/>
        <v>73379.11940467963</v>
      </c>
      <c r="G60" s="8" t="s">
        <v>38</v>
      </c>
      <c r="H60" s="6">
        <v>44902.619999999995</v>
      </c>
      <c r="I60" s="6">
        <v>49408.253920263705</v>
      </c>
      <c r="J60" s="6">
        <v>0</v>
      </c>
      <c r="K60" s="6">
        <f t="shared" si="3"/>
        <v>-49408.253920263705</v>
      </c>
    </row>
    <row r="61" spans="1:11" ht="45" x14ac:dyDescent="0.25">
      <c r="A61" s="8" t="s">
        <v>73</v>
      </c>
      <c r="B61" s="6">
        <v>548700</v>
      </c>
      <c r="C61" s="6">
        <v>601097.62851195922</v>
      </c>
      <c r="D61" s="6">
        <v>668502.84143661801</v>
      </c>
      <c r="E61" s="6">
        <f t="shared" si="2"/>
        <v>67405.212924658787</v>
      </c>
      <c r="G61" s="8" t="s">
        <v>39</v>
      </c>
      <c r="H61" s="6">
        <v>53834.780352640009</v>
      </c>
      <c r="I61" s="6">
        <v>59225.322341151899</v>
      </c>
      <c r="J61" s="6">
        <v>21171.357934263768</v>
      </c>
      <c r="K61" s="6">
        <f t="shared" si="3"/>
        <v>-38053.964406888132</v>
      </c>
    </row>
    <row r="62" spans="1:11" x14ac:dyDescent="0.25">
      <c r="A62" s="8" t="s">
        <v>74</v>
      </c>
      <c r="B62" s="6">
        <v>632186.92102385126</v>
      </c>
      <c r="C62" s="6">
        <v>694336.65689924359</v>
      </c>
      <c r="D62" s="6">
        <v>757558.8628992436</v>
      </c>
      <c r="E62" s="6">
        <f t="shared" si="2"/>
        <v>63222.206000000006</v>
      </c>
      <c r="G62" s="8" t="s">
        <v>40</v>
      </c>
      <c r="H62" s="6">
        <v>5441345.7542000003</v>
      </c>
      <c r="I62" s="6">
        <v>5962535.341289294</v>
      </c>
      <c r="J62" s="6">
        <v>5925790.8540378427</v>
      </c>
      <c r="K62" s="6">
        <f t="shared" si="3"/>
        <v>-36744.487251451239</v>
      </c>
    </row>
    <row r="63" spans="1:11" x14ac:dyDescent="0.25">
      <c r="A63" s="8" t="s">
        <v>75</v>
      </c>
      <c r="B63" s="6">
        <v>83429.153030534027</v>
      </c>
      <c r="C63" s="6">
        <v>87642.37777688996</v>
      </c>
      <c r="D63" s="6">
        <v>145298.356</v>
      </c>
      <c r="E63" s="6">
        <f t="shared" si="2"/>
        <v>57655.97822311004</v>
      </c>
      <c r="G63" s="8" t="s">
        <v>41</v>
      </c>
      <c r="H63" s="6">
        <v>233600</v>
      </c>
      <c r="I63" s="6">
        <v>256894.32588197562</v>
      </c>
      <c r="J63" s="6">
        <v>222076.63375866329</v>
      </c>
      <c r="K63" s="6">
        <f t="shared" si="3"/>
        <v>-34817.692123312328</v>
      </c>
    </row>
    <row r="64" spans="1:11" ht="30" x14ac:dyDescent="0.25">
      <c r="A64" s="8" t="s">
        <v>76</v>
      </c>
      <c r="B64" s="6">
        <v>2215133.855</v>
      </c>
      <c r="C64" s="6">
        <v>2437361.9630886614</v>
      </c>
      <c r="D64" s="6">
        <v>2483861.9630886614</v>
      </c>
      <c r="E64" s="6">
        <f t="shared" si="2"/>
        <v>46500</v>
      </c>
      <c r="G64" s="8" t="s">
        <v>42</v>
      </c>
      <c r="H64" s="6">
        <v>47400</v>
      </c>
      <c r="I64" s="6">
        <v>52074.601313139894</v>
      </c>
      <c r="J64" s="6">
        <v>17801.34</v>
      </c>
      <c r="K64" s="6">
        <f t="shared" si="3"/>
        <v>-34273.261313139898</v>
      </c>
    </row>
    <row r="65" spans="1:11" x14ac:dyDescent="0.25">
      <c r="A65" s="8" t="s">
        <v>77</v>
      </c>
      <c r="B65" s="6">
        <v>10819.4375</v>
      </c>
      <c r="C65" s="6">
        <v>11746.223671956868</v>
      </c>
      <c r="D65" s="6">
        <v>57845.723506970426</v>
      </c>
      <c r="E65" s="6">
        <f t="shared" si="2"/>
        <v>46099.499835013557</v>
      </c>
      <c r="G65" s="8" t="s">
        <v>43</v>
      </c>
      <c r="H65" s="6">
        <v>650000.02933333337</v>
      </c>
      <c r="I65" s="6">
        <v>713899.37372633582</v>
      </c>
      <c r="J65" s="6">
        <v>682129.99926643865</v>
      </c>
      <c r="K65" s="6">
        <f t="shared" si="3"/>
        <v>-31769.374459897168</v>
      </c>
    </row>
    <row r="66" spans="1:11" ht="30" x14ac:dyDescent="0.25">
      <c r="A66" s="8" t="s">
        <v>78</v>
      </c>
      <c r="B66" s="6">
        <v>522720</v>
      </c>
      <c r="C66" s="6">
        <v>574204.25532855326</v>
      </c>
      <c r="D66" s="6">
        <v>615351.79254456575</v>
      </c>
      <c r="E66" s="6">
        <f t="shared" si="2"/>
        <v>41147.537216012483</v>
      </c>
      <c r="G66" s="8" t="s">
        <v>44</v>
      </c>
      <c r="H66" s="6">
        <v>16719.925000000003</v>
      </c>
      <c r="I66" s="6">
        <v>18397.641383237002</v>
      </c>
      <c r="J66" s="6">
        <v>0</v>
      </c>
      <c r="K66" s="6">
        <f t="shared" si="3"/>
        <v>-18397.641383237002</v>
      </c>
    </row>
    <row r="67" spans="1:11" x14ac:dyDescent="0.25">
      <c r="A67" s="8" t="s">
        <v>79</v>
      </c>
      <c r="B67" s="6">
        <v>384590.41845262051</v>
      </c>
      <c r="C67" s="6">
        <v>423181.12061629252</v>
      </c>
      <c r="D67" s="6">
        <v>463935.39261629252</v>
      </c>
      <c r="E67" s="6">
        <f t="shared" si="2"/>
        <v>40754.271999999997</v>
      </c>
      <c r="G67" s="8" t="s">
        <v>45</v>
      </c>
      <c r="H67" s="6">
        <v>245360</v>
      </c>
      <c r="I67" s="6">
        <v>269418.21170744422</v>
      </c>
      <c r="J67" s="6">
        <v>252978.05884730394</v>
      </c>
      <c r="K67" s="6">
        <f t="shared" si="3"/>
        <v>-16440.152860140282</v>
      </c>
    </row>
    <row r="68" spans="1:11" ht="30" x14ac:dyDescent="0.25">
      <c r="A68" s="8" t="s">
        <v>80</v>
      </c>
      <c r="B68" s="6">
        <v>250000</v>
      </c>
      <c r="C68" s="6">
        <v>258670.94652034686</v>
      </c>
      <c r="D68" s="6">
        <v>281709.36</v>
      </c>
      <c r="E68" s="6">
        <f t="shared" si="2"/>
        <v>23038.413479653129</v>
      </c>
      <c r="G68" s="8" t="s">
        <v>46</v>
      </c>
      <c r="H68" s="6">
        <v>26100</v>
      </c>
      <c r="I68" s="6">
        <v>28496.159208931313</v>
      </c>
      <c r="J68" s="6">
        <v>12192.85</v>
      </c>
      <c r="K68" s="6">
        <f t="shared" si="3"/>
        <v>-16303.309208931312</v>
      </c>
    </row>
    <row r="69" spans="1:11" x14ac:dyDescent="0.25">
      <c r="A69" s="8" t="s">
        <v>81</v>
      </c>
      <c r="B69" s="6">
        <v>52787.786047755486</v>
      </c>
      <c r="C69" s="6">
        <v>58084.635973046934</v>
      </c>
      <c r="D69" s="6">
        <v>77678.225973046923</v>
      </c>
      <c r="E69" s="6">
        <f t="shared" si="2"/>
        <v>19593.589999999989</v>
      </c>
      <c r="G69" s="8" t="s">
        <v>47</v>
      </c>
      <c r="H69" s="6">
        <v>379507.65</v>
      </c>
      <c r="I69" s="6">
        <v>416024.08795748133</v>
      </c>
      <c r="J69" s="6">
        <v>400158.23616089963</v>
      </c>
      <c r="K69" s="6">
        <f t="shared" si="3"/>
        <v>-15865.851796581701</v>
      </c>
    </row>
    <row r="70" spans="1:11" ht="30" x14ac:dyDescent="0.25">
      <c r="A70" s="8" t="s">
        <v>82</v>
      </c>
      <c r="B70" s="6">
        <v>400765.48</v>
      </c>
      <c r="C70" s="6">
        <v>439474.50785192783</v>
      </c>
      <c r="D70" s="6">
        <v>457993.70436862484</v>
      </c>
      <c r="E70" s="6">
        <f t="shared" si="2"/>
        <v>18519.196516697004</v>
      </c>
      <c r="G70" s="8" t="s">
        <v>48</v>
      </c>
      <c r="H70" s="6">
        <v>90222.908418788778</v>
      </c>
      <c r="I70" s="6">
        <v>96636.264678799052</v>
      </c>
      <c r="J70" s="6">
        <v>85001.203459137629</v>
      </c>
      <c r="K70" s="6">
        <f t="shared" si="3"/>
        <v>-11635.061219661424</v>
      </c>
    </row>
    <row r="71" spans="1:11" ht="30" x14ac:dyDescent="0.25">
      <c r="A71" s="8" t="s">
        <v>83</v>
      </c>
      <c r="B71" s="6">
        <v>351700</v>
      </c>
      <c r="C71" s="6">
        <v>385920.15217851364</v>
      </c>
      <c r="D71" s="6">
        <v>401516.94060296775</v>
      </c>
      <c r="E71" s="6">
        <f t="shared" si="2"/>
        <v>15596.788424454106</v>
      </c>
      <c r="G71" s="8" t="s">
        <v>49</v>
      </c>
      <c r="H71" s="6">
        <v>11403.052082228009</v>
      </c>
      <c r="I71" s="6">
        <v>12443.789295922272</v>
      </c>
      <c r="J71" s="6">
        <v>2500</v>
      </c>
      <c r="K71" s="6">
        <f t="shared" si="3"/>
        <v>-9943.7892959222718</v>
      </c>
    </row>
    <row r="72" spans="1:11" ht="30" x14ac:dyDescent="0.25">
      <c r="A72" s="8" t="s">
        <v>84</v>
      </c>
      <c r="B72" s="6">
        <v>75836.522803676606</v>
      </c>
      <c r="C72" s="6">
        <v>83446.136887199988</v>
      </c>
      <c r="D72" s="6">
        <v>90532.932887199975</v>
      </c>
      <c r="E72" s="6">
        <f t="shared" si="2"/>
        <v>7086.7959999999875</v>
      </c>
      <c r="G72" s="8" t="s">
        <v>50</v>
      </c>
      <c r="H72" s="6">
        <v>3600</v>
      </c>
      <c r="I72" s="6">
        <v>3961.2324205792306</v>
      </c>
      <c r="J72" s="6">
        <v>0</v>
      </c>
      <c r="K72" s="6">
        <f t="shared" si="3"/>
        <v>-3961.2324205792306</v>
      </c>
    </row>
    <row r="73" spans="1:11" ht="30" x14ac:dyDescent="0.25">
      <c r="A73" s="8" t="s">
        <v>85</v>
      </c>
      <c r="B73" s="6">
        <v>1288479.01</v>
      </c>
      <c r="C73" s="6">
        <v>1417768.0076799537</v>
      </c>
      <c r="D73" s="6">
        <v>1423409.2376799537</v>
      </c>
      <c r="E73" s="6">
        <f t="shared" si="2"/>
        <v>5641.2299999999814</v>
      </c>
      <c r="G73" s="8" t="s">
        <v>51</v>
      </c>
      <c r="H73" s="6">
        <v>29550.53354690081</v>
      </c>
      <c r="I73" s="6">
        <v>32515.204598170272</v>
      </c>
      <c r="J73" s="6">
        <v>29009.887637604497</v>
      </c>
      <c r="K73" s="6">
        <f t="shared" si="3"/>
        <v>-3505.3169605657749</v>
      </c>
    </row>
    <row r="74" spans="1:11" ht="30" x14ac:dyDescent="0.25">
      <c r="A74" s="8" t="s">
        <v>86</v>
      </c>
      <c r="B74" s="6">
        <v>69401.564133824344</v>
      </c>
      <c r="C74" s="6">
        <v>76347.999948027136</v>
      </c>
      <c r="D74" s="6">
        <v>81865.739948027127</v>
      </c>
      <c r="E74" s="6">
        <f t="shared" si="2"/>
        <v>5517.7399999999907</v>
      </c>
      <c r="G74" s="8" t="s">
        <v>52</v>
      </c>
      <c r="H74" s="6">
        <v>101074.42118806772</v>
      </c>
      <c r="I74" s="6">
        <v>111216.46502818173</v>
      </c>
      <c r="J74" s="6">
        <v>108757.64962313166</v>
      </c>
      <c r="K74" s="6">
        <f t="shared" si="3"/>
        <v>-2458.8154050500743</v>
      </c>
    </row>
    <row r="75" spans="1:11" ht="30" x14ac:dyDescent="0.25">
      <c r="A75" s="8" t="s">
        <v>87</v>
      </c>
      <c r="B75" s="6">
        <v>25747.928568365201</v>
      </c>
      <c r="C75" s="6">
        <v>28287.134418739417</v>
      </c>
      <c r="D75" s="6">
        <v>32143.734751860236</v>
      </c>
      <c r="E75" s="6">
        <f t="shared" si="2"/>
        <v>3856.6003331208194</v>
      </c>
      <c r="G75" s="8" t="s">
        <v>53</v>
      </c>
      <c r="H75" s="6">
        <v>17815.142836013587</v>
      </c>
      <c r="I75" s="6">
        <v>19602.755938685234</v>
      </c>
      <c r="J75" s="6">
        <v>17858.41959306084</v>
      </c>
      <c r="K75" s="6">
        <f t="shared" si="3"/>
        <v>-1744.3363456243933</v>
      </c>
    </row>
    <row r="76" spans="1:11" ht="45" x14ac:dyDescent="0.25">
      <c r="A76" s="8" t="s">
        <v>88</v>
      </c>
      <c r="B76" s="6">
        <v>1335561.9885516798</v>
      </c>
      <c r="C76" s="6">
        <v>1469098.643101532</v>
      </c>
      <c r="D76" s="6">
        <v>1472298.643101532</v>
      </c>
      <c r="E76" s="6">
        <f t="shared" si="2"/>
        <v>3200</v>
      </c>
      <c r="G76" s="8" t="s">
        <v>54</v>
      </c>
      <c r="H76" s="6">
        <v>40840.894970129266</v>
      </c>
      <c r="I76" s="6">
        <v>44938.96590031869</v>
      </c>
      <c r="J76" s="6">
        <v>43629.69394239071</v>
      </c>
      <c r="K76" s="6">
        <f t="shared" si="3"/>
        <v>-1309.2719579279801</v>
      </c>
    </row>
    <row r="77" spans="1:11" ht="30" x14ac:dyDescent="0.25">
      <c r="A77" s="8" t="s">
        <v>89</v>
      </c>
      <c r="B77" s="6">
        <v>47400</v>
      </c>
      <c r="C77" s="6">
        <v>52147.935404396259</v>
      </c>
      <c r="D77" s="6">
        <v>54956.226870959872</v>
      </c>
      <c r="E77" s="6">
        <f t="shared" si="2"/>
        <v>2808.2914665636126</v>
      </c>
      <c r="G77" s="8" t="s">
        <v>55</v>
      </c>
      <c r="H77" s="6">
        <v>3994.042474296928</v>
      </c>
      <c r="I77" s="6">
        <v>4394.8140384320786</v>
      </c>
      <c r="J77" s="6">
        <v>4009.2261092732724</v>
      </c>
      <c r="K77" s="6">
        <f t="shared" si="3"/>
        <v>-385.58792915880622</v>
      </c>
    </row>
    <row r="78" spans="1:11" x14ac:dyDescent="0.25">
      <c r="A78" s="8" t="s">
        <v>90</v>
      </c>
      <c r="B78" s="6">
        <v>41837.040000000001</v>
      </c>
      <c r="C78" s="6">
        <v>46035.066452519481</v>
      </c>
      <c r="D78" s="6">
        <v>47172.816452519481</v>
      </c>
      <c r="E78" s="6">
        <f t="shared" si="2"/>
        <v>1137.75</v>
      </c>
      <c r="G78" s="8" t="s">
        <v>56</v>
      </c>
      <c r="H78" s="6">
        <v>163896.06145440001</v>
      </c>
      <c r="I78" s="6">
        <v>180341.77562178206</v>
      </c>
      <c r="J78" s="6">
        <v>180057.82562178205</v>
      </c>
      <c r="K78" s="6">
        <f t="shared" si="3"/>
        <v>-283.95000000001164</v>
      </c>
    </row>
    <row r="79" spans="1:11" ht="30" x14ac:dyDescent="0.25">
      <c r="A79" s="8" t="s">
        <v>91</v>
      </c>
      <c r="B79" s="6">
        <v>176569.91140400001</v>
      </c>
      <c r="C79" s="6">
        <v>194287.34932009096</v>
      </c>
      <c r="D79" s="6">
        <v>195117.77932009095</v>
      </c>
      <c r="E79" s="6">
        <f t="shared" si="2"/>
        <v>830.42999999999302</v>
      </c>
      <c r="G79" s="8" t="s">
        <v>57</v>
      </c>
      <c r="H79" s="6">
        <v>24084.091797531873</v>
      </c>
      <c r="I79" s="6">
        <v>26500.745902386003</v>
      </c>
      <c r="J79" s="6">
        <v>26265.328378057136</v>
      </c>
      <c r="K79" s="6">
        <f t="shared" si="3"/>
        <v>-235.41752432886642</v>
      </c>
    </row>
    <row r="80" spans="1:11" ht="30" x14ac:dyDescent="0.25">
      <c r="A80" s="8" t="s">
        <v>92</v>
      </c>
      <c r="B80" s="6">
        <v>1818749.1038897291</v>
      </c>
      <c r="C80" s="6">
        <v>2001244.0463697994</v>
      </c>
      <c r="D80" s="6">
        <v>2001805.8431187263</v>
      </c>
      <c r="E80" s="6">
        <f t="shared" si="2"/>
        <v>561.79674892686307</v>
      </c>
      <c r="G80" s="8" t="s">
        <v>58</v>
      </c>
      <c r="H80" s="6">
        <v>8420.2799999999988</v>
      </c>
      <c r="I80" s="6">
        <v>9265.190590654136</v>
      </c>
      <c r="J80" s="6">
        <v>9265.190590654136</v>
      </c>
      <c r="K80" s="6">
        <f t="shared" si="3"/>
        <v>0</v>
      </c>
    </row>
    <row r="81" spans="1:11" ht="30" x14ac:dyDescent="0.25">
      <c r="A81" s="8" t="s">
        <v>93</v>
      </c>
      <c r="B81" s="6">
        <v>220000</v>
      </c>
      <c r="C81" s="6">
        <v>241952.54893491842</v>
      </c>
      <c r="D81" s="6">
        <v>242369.70315291287</v>
      </c>
      <c r="E81" s="6">
        <f t="shared" si="2"/>
        <v>417.15421799445176</v>
      </c>
      <c r="G81" s="8" t="s">
        <v>59</v>
      </c>
      <c r="H81" s="6">
        <v>1425.06</v>
      </c>
      <c r="I81" s="6">
        <v>1568.0538536862887</v>
      </c>
      <c r="J81" s="6">
        <v>1568.0538536862887</v>
      </c>
      <c r="K81" s="6">
        <f t="shared" si="3"/>
        <v>0</v>
      </c>
    </row>
    <row r="82" spans="1:11" x14ac:dyDescent="0.25">
      <c r="A82" s="8"/>
      <c r="B82" s="6"/>
      <c r="C82" s="6"/>
      <c r="D82" s="6"/>
      <c r="E82" s="6">
        <f t="shared" si="2"/>
        <v>0</v>
      </c>
      <c r="G82" s="8"/>
      <c r="H82" s="6"/>
      <c r="I82" s="6"/>
      <c r="J82" s="6"/>
      <c r="K82" s="6">
        <f t="shared" si="3"/>
        <v>0</v>
      </c>
    </row>
  </sheetData>
  <mergeCells count="12">
    <mergeCell ref="A1:D1"/>
    <mergeCell ref="C6:D6"/>
    <mergeCell ref="C7:D7"/>
    <mergeCell ref="C2:D2"/>
    <mergeCell ref="C5:D5"/>
    <mergeCell ref="A46:E46"/>
    <mergeCell ref="G46:K46"/>
    <mergeCell ref="C3:D3"/>
    <mergeCell ref="C8:D8"/>
    <mergeCell ref="C4:D4"/>
    <mergeCell ref="D10:F10"/>
    <mergeCell ref="A10:B10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JARDINS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Matheus Gonçalves</cp:lastModifiedBy>
  <dcterms:created xsi:type="dcterms:W3CDTF">2026-01-22T13:28:57Z</dcterms:created>
  <dcterms:modified xsi:type="dcterms:W3CDTF">2026-01-22T14:13:23Z</dcterms:modified>
</cp:coreProperties>
</file>