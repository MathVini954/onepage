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13_ncr:1_{CF878989-F855-4AE6-B1C7-1EE630E41E13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ORÇAMENTO_RESUMO" sheetId="1" r:id="rId1"/>
    <sheet name="JARDINS" sheetId="4" r:id="rId2"/>
    <sheet name="MARIE CURIE" sheetId="5" r:id="rId3"/>
    <sheet name="UNIQUE" sheetId="6" r:id="rId4"/>
    <sheet name="AUGURI" sheetId="7" r:id="rId5"/>
    <sheet name="BOSSA" sheetId="8" r:id="rId6"/>
    <sheet name="ESSENZA" sheetId="9" r:id="rId7"/>
    <sheet name="VIVANT" sheetId="10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4" i="4" l="1"/>
  <c r="E33" i="4" l="1"/>
  <c r="E32" i="4" l="1"/>
  <c r="E31" i="4" l="1"/>
  <c r="E30" i="4"/>
  <c r="C33" i="5" l="1"/>
  <c r="C32" i="5"/>
  <c r="C31" i="5"/>
  <c r="C30" i="5"/>
  <c r="C29" i="5"/>
  <c r="C28" i="5"/>
  <c r="K82" i="10" l="1"/>
  <c r="E82" i="10"/>
  <c r="K81" i="10"/>
  <c r="E81" i="10"/>
  <c r="K80" i="10"/>
  <c r="E80" i="10"/>
  <c r="K79" i="10"/>
  <c r="E79" i="10"/>
  <c r="K78" i="10"/>
  <c r="E78" i="10"/>
  <c r="K77" i="10"/>
  <c r="E77" i="10"/>
  <c r="K76" i="10"/>
  <c r="E76" i="10"/>
  <c r="K75" i="10"/>
  <c r="E75" i="10"/>
  <c r="K74" i="10"/>
  <c r="E74" i="10"/>
  <c r="K73" i="10"/>
  <c r="E73" i="10"/>
  <c r="K72" i="10"/>
  <c r="E72" i="10"/>
  <c r="K71" i="10"/>
  <c r="E71" i="10"/>
  <c r="K70" i="10"/>
  <c r="E70" i="10"/>
  <c r="K69" i="10"/>
  <c r="E69" i="10"/>
  <c r="K68" i="10"/>
  <c r="E68" i="10"/>
  <c r="K67" i="10"/>
  <c r="E67" i="10"/>
  <c r="K66" i="10"/>
  <c r="E66" i="10"/>
  <c r="K65" i="10"/>
  <c r="E65" i="10"/>
  <c r="K64" i="10"/>
  <c r="E64" i="10"/>
  <c r="K63" i="10"/>
  <c r="E63" i="10"/>
  <c r="K62" i="10"/>
  <c r="E62" i="10"/>
  <c r="K61" i="10"/>
  <c r="E61" i="10"/>
  <c r="K60" i="10"/>
  <c r="E60" i="10"/>
  <c r="K59" i="10"/>
  <c r="E59" i="10"/>
  <c r="K58" i="10"/>
  <c r="E58" i="10"/>
  <c r="K57" i="10"/>
  <c r="E57" i="10"/>
  <c r="K56" i="10"/>
  <c r="E56" i="10"/>
  <c r="K55" i="10"/>
  <c r="E55" i="10"/>
  <c r="K54" i="10"/>
  <c r="E54" i="10"/>
  <c r="K53" i="10"/>
  <c r="E53" i="10"/>
  <c r="K52" i="10"/>
  <c r="E52" i="10"/>
  <c r="K51" i="10"/>
  <c r="E51" i="10"/>
  <c r="K50" i="10"/>
  <c r="E50" i="10"/>
  <c r="K49" i="10"/>
  <c r="E49" i="10"/>
  <c r="K48" i="10"/>
  <c r="E48" i="10"/>
  <c r="K82" i="9"/>
  <c r="E82" i="9"/>
  <c r="K81" i="9"/>
  <c r="E81" i="9"/>
  <c r="K80" i="9"/>
  <c r="E80" i="9"/>
  <c r="K79" i="9"/>
  <c r="E79" i="9"/>
  <c r="K78" i="9"/>
  <c r="E78" i="9"/>
  <c r="K77" i="9"/>
  <c r="E77" i="9"/>
  <c r="K76" i="9"/>
  <c r="E76" i="9"/>
  <c r="K75" i="9"/>
  <c r="E75" i="9"/>
  <c r="K74" i="9"/>
  <c r="E74" i="9"/>
  <c r="K73" i="9"/>
  <c r="E73" i="9"/>
  <c r="K72" i="9"/>
  <c r="E72" i="9"/>
  <c r="K71" i="9"/>
  <c r="E71" i="9"/>
  <c r="K70" i="9"/>
  <c r="E70" i="9"/>
  <c r="K69" i="9"/>
  <c r="E69" i="9"/>
  <c r="K68" i="9"/>
  <c r="E68" i="9"/>
  <c r="K67" i="9"/>
  <c r="E67" i="9"/>
  <c r="K66" i="9"/>
  <c r="E66" i="9"/>
  <c r="K65" i="9"/>
  <c r="E65" i="9"/>
  <c r="K64" i="9"/>
  <c r="E64" i="9"/>
  <c r="K63" i="9"/>
  <c r="E63" i="9"/>
  <c r="K62" i="9"/>
  <c r="E62" i="9"/>
  <c r="K61" i="9"/>
  <c r="E61" i="9"/>
  <c r="K60" i="9"/>
  <c r="E60" i="9"/>
  <c r="K59" i="9"/>
  <c r="E59" i="9"/>
  <c r="K58" i="9"/>
  <c r="E58" i="9"/>
  <c r="K57" i="9"/>
  <c r="E57" i="9"/>
  <c r="K56" i="9"/>
  <c r="E56" i="9"/>
  <c r="K55" i="9"/>
  <c r="E55" i="9"/>
  <c r="K54" i="9"/>
  <c r="E54" i="9"/>
  <c r="K53" i="9"/>
  <c r="E53" i="9"/>
  <c r="K52" i="9"/>
  <c r="E52" i="9"/>
  <c r="K51" i="9"/>
  <c r="E51" i="9"/>
  <c r="K50" i="9"/>
  <c r="E50" i="9"/>
  <c r="K49" i="9"/>
  <c r="E49" i="9"/>
  <c r="K48" i="9"/>
  <c r="E48" i="9"/>
  <c r="K82" i="8"/>
  <c r="E82" i="8"/>
  <c r="K81" i="8"/>
  <c r="E81" i="8"/>
  <c r="K80" i="8"/>
  <c r="E80" i="8"/>
  <c r="K79" i="8"/>
  <c r="E79" i="8"/>
  <c r="K78" i="8"/>
  <c r="E78" i="8"/>
  <c r="K77" i="8"/>
  <c r="E77" i="8"/>
  <c r="K76" i="8"/>
  <c r="E76" i="8"/>
  <c r="K75" i="8"/>
  <c r="E75" i="8"/>
  <c r="K74" i="8"/>
  <c r="E74" i="8"/>
  <c r="K73" i="8"/>
  <c r="E73" i="8"/>
  <c r="K72" i="8"/>
  <c r="E72" i="8"/>
  <c r="K71" i="8"/>
  <c r="E71" i="8"/>
  <c r="K70" i="8"/>
  <c r="E70" i="8"/>
  <c r="K69" i="8"/>
  <c r="E69" i="8"/>
  <c r="K68" i="8"/>
  <c r="E68" i="8"/>
  <c r="K67" i="8"/>
  <c r="E67" i="8"/>
  <c r="K66" i="8"/>
  <c r="E66" i="8"/>
  <c r="K65" i="8"/>
  <c r="E65" i="8"/>
  <c r="K64" i="8"/>
  <c r="E64" i="8"/>
  <c r="K63" i="8"/>
  <c r="E63" i="8"/>
  <c r="K62" i="8"/>
  <c r="E62" i="8"/>
  <c r="K61" i="8"/>
  <c r="E61" i="8"/>
  <c r="K60" i="8"/>
  <c r="E60" i="8"/>
  <c r="K59" i="8"/>
  <c r="E59" i="8"/>
  <c r="K58" i="8"/>
  <c r="E58" i="8"/>
  <c r="K57" i="8"/>
  <c r="E57" i="8"/>
  <c r="K56" i="8"/>
  <c r="E56" i="8"/>
  <c r="K55" i="8"/>
  <c r="E55" i="8"/>
  <c r="K54" i="8"/>
  <c r="E54" i="8"/>
  <c r="K53" i="8"/>
  <c r="E53" i="8"/>
  <c r="K52" i="8"/>
  <c r="E52" i="8"/>
  <c r="K51" i="8"/>
  <c r="E51" i="8"/>
  <c r="K50" i="8"/>
  <c r="E50" i="8"/>
  <c r="K49" i="8"/>
  <c r="E49" i="8"/>
  <c r="K48" i="8"/>
  <c r="E48" i="8"/>
  <c r="C34" i="8"/>
  <c r="C33" i="8"/>
  <c r="C32" i="8"/>
  <c r="C31" i="8"/>
  <c r="C30" i="8"/>
  <c r="C29" i="8"/>
  <c r="C28" i="8"/>
  <c r="K82" i="7"/>
  <c r="E82" i="7"/>
  <c r="K81" i="7"/>
  <c r="E81" i="7"/>
  <c r="K80" i="7"/>
  <c r="E80" i="7"/>
  <c r="K79" i="7"/>
  <c r="E79" i="7"/>
  <c r="K78" i="7"/>
  <c r="E78" i="7"/>
  <c r="K77" i="7"/>
  <c r="E77" i="7"/>
  <c r="K76" i="7"/>
  <c r="E76" i="7"/>
  <c r="K75" i="7"/>
  <c r="E75" i="7"/>
  <c r="K74" i="7"/>
  <c r="E74" i="7"/>
  <c r="K73" i="7"/>
  <c r="E73" i="7"/>
  <c r="K72" i="7"/>
  <c r="E72" i="7"/>
  <c r="K71" i="7"/>
  <c r="E71" i="7"/>
  <c r="K70" i="7"/>
  <c r="E70" i="7"/>
  <c r="K69" i="7"/>
  <c r="E69" i="7"/>
  <c r="K68" i="7"/>
  <c r="E68" i="7"/>
  <c r="K67" i="7"/>
  <c r="E67" i="7"/>
  <c r="K66" i="7"/>
  <c r="E66" i="7"/>
  <c r="K65" i="7"/>
  <c r="E65" i="7"/>
  <c r="K64" i="7"/>
  <c r="E64" i="7"/>
  <c r="K63" i="7"/>
  <c r="E63" i="7"/>
  <c r="K62" i="7"/>
  <c r="E62" i="7"/>
  <c r="K61" i="7"/>
  <c r="E61" i="7"/>
  <c r="K60" i="7"/>
  <c r="E60" i="7"/>
  <c r="K59" i="7"/>
  <c r="E59" i="7"/>
  <c r="K58" i="7"/>
  <c r="E58" i="7"/>
  <c r="K57" i="7"/>
  <c r="E57" i="7"/>
  <c r="K56" i="7"/>
  <c r="E56" i="7"/>
  <c r="K55" i="7"/>
  <c r="E55" i="7"/>
  <c r="K54" i="7"/>
  <c r="E54" i="7"/>
  <c r="K53" i="7"/>
  <c r="E53" i="7"/>
  <c r="K52" i="7"/>
  <c r="E52" i="7"/>
  <c r="K51" i="7"/>
  <c r="E51" i="7"/>
  <c r="K50" i="7"/>
  <c r="E50" i="7"/>
  <c r="K49" i="7"/>
  <c r="E49" i="7"/>
  <c r="K48" i="7"/>
  <c r="E48" i="7"/>
  <c r="C34" i="7"/>
  <c r="C33" i="7"/>
  <c r="C32" i="7"/>
  <c r="C31" i="7"/>
  <c r="C30" i="7"/>
  <c r="C29" i="7"/>
  <c r="C28" i="7"/>
  <c r="K82" i="6"/>
  <c r="E82" i="6"/>
  <c r="K81" i="6"/>
  <c r="E81" i="6"/>
  <c r="K80" i="6"/>
  <c r="E80" i="6"/>
  <c r="K79" i="6"/>
  <c r="E79" i="6"/>
  <c r="K78" i="6"/>
  <c r="E78" i="6"/>
  <c r="K77" i="6"/>
  <c r="E77" i="6"/>
  <c r="K76" i="6"/>
  <c r="E76" i="6"/>
  <c r="K75" i="6"/>
  <c r="E75" i="6"/>
  <c r="K74" i="6"/>
  <c r="E74" i="6"/>
  <c r="K73" i="6"/>
  <c r="E73" i="6"/>
  <c r="K72" i="6"/>
  <c r="E72" i="6"/>
  <c r="K71" i="6"/>
  <c r="E71" i="6"/>
  <c r="K70" i="6"/>
  <c r="E70" i="6"/>
  <c r="K69" i="6"/>
  <c r="E69" i="6"/>
  <c r="K68" i="6"/>
  <c r="E68" i="6"/>
  <c r="K67" i="6"/>
  <c r="E67" i="6"/>
  <c r="K66" i="6"/>
  <c r="E66" i="6"/>
  <c r="K65" i="6"/>
  <c r="E65" i="6"/>
  <c r="K64" i="6"/>
  <c r="E64" i="6"/>
  <c r="K63" i="6"/>
  <c r="E63" i="6"/>
  <c r="K62" i="6"/>
  <c r="E62" i="6"/>
  <c r="K61" i="6"/>
  <c r="E61" i="6"/>
  <c r="K60" i="6"/>
  <c r="E60" i="6"/>
  <c r="K59" i="6"/>
  <c r="E59" i="6"/>
  <c r="K58" i="6"/>
  <c r="E58" i="6"/>
  <c r="K57" i="6"/>
  <c r="E57" i="6"/>
  <c r="K56" i="6"/>
  <c r="E56" i="6"/>
  <c r="K55" i="6"/>
  <c r="E55" i="6"/>
  <c r="K54" i="6"/>
  <c r="E54" i="6"/>
  <c r="K53" i="6"/>
  <c r="E53" i="6"/>
  <c r="K52" i="6"/>
  <c r="E52" i="6"/>
  <c r="K51" i="6"/>
  <c r="E51" i="6"/>
  <c r="K50" i="6"/>
  <c r="E50" i="6"/>
  <c r="K49" i="6"/>
  <c r="E49" i="6"/>
  <c r="K48" i="6"/>
  <c r="E48" i="6"/>
  <c r="K82" i="4"/>
  <c r="E82" i="4"/>
  <c r="K81" i="4"/>
  <c r="E81" i="4"/>
  <c r="K80" i="4"/>
  <c r="E80" i="4"/>
  <c r="K79" i="4"/>
  <c r="E79" i="4"/>
  <c r="K78" i="4"/>
  <c r="E78" i="4"/>
  <c r="K77" i="4"/>
  <c r="E77" i="4"/>
  <c r="K76" i="4"/>
  <c r="E76" i="4"/>
  <c r="K75" i="4"/>
  <c r="E75" i="4"/>
  <c r="K74" i="4"/>
  <c r="E74" i="4"/>
  <c r="K73" i="4"/>
  <c r="E73" i="4"/>
  <c r="K72" i="4"/>
  <c r="E72" i="4"/>
  <c r="K71" i="4"/>
  <c r="E71" i="4"/>
  <c r="K70" i="4"/>
  <c r="E70" i="4"/>
  <c r="K69" i="4"/>
  <c r="E69" i="4"/>
  <c r="K68" i="4"/>
  <c r="E68" i="4"/>
  <c r="K67" i="4"/>
  <c r="E67" i="4"/>
  <c r="K66" i="4"/>
  <c r="E66" i="4"/>
  <c r="K65" i="4"/>
  <c r="E65" i="4"/>
  <c r="K64" i="4"/>
  <c r="E64" i="4"/>
  <c r="K63" i="4"/>
  <c r="E63" i="4"/>
  <c r="K62" i="4"/>
  <c r="E62" i="4"/>
  <c r="K61" i="4"/>
  <c r="E61" i="4"/>
  <c r="K60" i="4"/>
  <c r="E60" i="4"/>
  <c r="K59" i="4"/>
  <c r="E59" i="4"/>
  <c r="K58" i="4"/>
  <c r="E58" i="4"/>
  <c r="K57" i="4"/>
  <c r="E57" i="4"/>
  <c r="K56" i="4"/>
  <c r="E56" i="4"/>
  <c r="K55" i="4"/>
  <c r="E55" i="4"/>
  <c r="K54" i="4"/>
  <c r="E54" i="4"/>
  <c r="K53" i="4"/>
  <c r="E53" i="4"/>
  <c r="K52" i="4"/>
  <c r="E52" i="4"/>
  <c r="K51" i="4"/>
  <c r="E51" i="4"/>
  <c r="K50" i="4"/>
  <c r="E50" i="4"/>
  <c r="K49" i="4"/>
  <c r="E49" i="4"/>
  <c r="K48" i="4"/>
  <c r="E48" i="4"/>
  <c r="C34" i="4"/>
  <c r="C33" i="4"/>
  <c r="C32" i="4"/>
  <c r="C31" i="4"/>
  <c r="C30" i="4"/>
  <c r="C29" i="4"/>
  <c r="C28" i="4"/>
</calcChain>
</file>

<file path=xl/sharedStrings.xml><?xml version="1.0" encoding="utf-8"?>
<sst xmlns="http://schemas.openxmlformats.org/spreadsheetml/2006/main" count="1587" uniqueCount="234">
  <si>
    <t>ORÇAMENTO_RESUMO</t>
  </si>
  <si>
    <t>OBRA</t>
  </si>
  <si>
    <t>set/2025</t>
  </si>
  <si>
    <t>out/2025</t>
  </si>
  <si>
    <t>nov/2025</t>
  </si>
  <si>
    <t>dez/2025</t>
  </si>
  <si>
    <t>jan/2026</t>
  </si>
  <si>
    <t>fev/2026</t>
  </si>
  <si>
    <t>mar/2026</t>
  </si>
  <si>
    <t>abr/2026</t>
  </si>
  <si>
    <t>mai/2026</t>
  </si>
  <si>
    <t>jun/2026</t>
  </si>
  <si>
    <t>jul/2026</t>
  </si>
  <si>
    <t>ago/2026</t>
  </si>
  <si>
    <t>set/2026</t>
  </si>
  <si>
    <t>out/2026</t>
  </si>
  <si>
    <t>nov/2026</t>
  </si>
  <si>
    <t>dez/2026</t>
  </si>
  <si>
    <t>VARIAÇÃO (R$)</t>
  </si>
  <si>
    <t>JARDINS</t>
  </si>
  <si>
    <t>MARIE CURIE</t>
  </si>
  <si>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</si>
  <si>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</si>
  <si>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</si>
  <si>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</si>
  <si>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</si>
  <si>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</si>
  <si>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</si>
  <si>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</si>
  <si>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</si>
  <si>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</si>
  <si>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</si>
  <si>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</si>
  <si>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</si>
  <si>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</si>
  <si>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PLANEJADO MÊS (%)</t>
  </si>
  <si>
    <t>REALIZADO Mês (%)</t>
  </si>
  <si>
    <t>PREVISTO MENSAL(%)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</si>
  <si>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</si>
  <si>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</si>
  <si>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</si>
  <si>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</si>
  <si>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</si>
  <si>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</si>
  <si>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</si>
  <si>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</si>
  <si>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JUSTIFICATIVAS</t>
  </si>
  <si>
    <t>EQUIPAMENTOS DE PROTEÇÃO COLETIVA</t>
  </si>
  <si>
    <t>OUTROS EQUIPAMENTOS</t>
  </si>
  <si>
    <t>CONCRETO - MALL</t>
  </si>
  <si>
    <t>ATERRO E COMPACTAÇÃO</t>
  </si>
  <si>
    <t>FORMA - MALL</t>
  </si>
  <si>
    <t>OUTRAS FUNDAÇÕES ESPECIAIS - MALL</t>
  </si>
  <si>
    <t>BLOCO, BALDRAMES, SAPATAS - MALL</t>
  </si>
  <si>
    <t>MÃO DE OBRA INDIRETA (GESTÃO)</t>
  </si>
  <si>
    <t>ARMAÇÃO - MALL</t>
  </si>
  <si>
    <t>MÃO DE OBRA INDIRETA (APOIO, LOGISTICA, SMS)</t>
  </si>
  <si>
    <t>INSTALAÇÕES - HIDROSSANITÁRIA E DRENAGEM - MALL</t>
  </si>
  <si>
    <t>BLOCO CERÂMICO - GARAGEM MALL</t>
  </si>
  <si>
    <t>ATERRO E COMPACTAÇÃO - MALL</t>
  </si>
  <si>
    <t>RESERVATÓRIOS INFERIORES - MALL</t>
  </si>
  <si>
    <t>BLOCO CERÂMICO - MALL</t>
  </si>
  <si>
    <t>IMPLANTAÇÃO DO CANTEIRO</t>
  </si>
  <si>
    <t>DESPESAS INDIRETAS - ALIMENTAÇÃO</t>
  </si>
  <si>
    <t xml:space="preserve">LOCAÇÃO DE OBRA / GABARITO </t>
  </si>
  <si>
    <t>ARGAMASSA POLIMÉRICA - MALL</t>
  </si>
  <si>
    <t>ENSAIOS</t>
  </si>
  <si>
    <t>INSTALAÇÕES DE INCÊNDIO - MALL</t>
  </si>
  <si>
    <t>REBAIXAMENTO DE LENÇOL FREÁTICO - GARAGENS TORRES</t>
  </si>
  <si>
    <t>SEGURANÇA PATRIMONIAL</t>
  </si>
  <si>
    <t>CONSUMO DE ENERGIA ELÉTRICA</t>
  </si>
  <si>
    <t>ESCAVAÇÃO E CARGA - MALL</t>
  </si>
  <si>
    <t>ESCAVAÇÃO E CARGA -GARAGENS TORRES</t>
  </si>
  <si>
    <t>GRUA</t>
  </si>
  <si>
    <t>INSTALAÇÕES - HIDROSSANITÁRIA E DRENAGEM - GARAGEM MALL</t>
  </si>
  <si>
    <t>BLOCO, BALDRAMES, SAPATAS - TORRE A</t>
  </si>
  <si>
    <t>ESTACAS - TORRE A</t>
  </si>
  <si>
    <t>INSTALAÇÕES PROVISÓRIAS</t>
  </si>
  <si>
    <t>CONSUMO DE ÁGUA</t>
  </si>
  <si>
    <t>ESQUADRIA DE ALUMÍNIO - MALL</t>
  </si>
  <si>
    <t>REBAIXAMENTO DE LENÇOL FREÁTICO - MALL</t>
  </si>
  <si>
    <t>ATERRO E COMPACTAÇÃO - TORRE A</t>
  </si>
  <si>
    <t>ESCORAMENTO - MALL</t>
  </si>
  <si>
    <t>DESPESAS INDIRETAS  - TRANSPORTE</t>
  </si>
  <si>
    <t>ATERRO E COMPACTAÇÃO- GARAGENS TORRES</t>
  </si>
  <si>
    <t>BLOCO CERÂMICO - GARAGENS TORRES</t>
  </si>
  <si>
    <t>SAÚDE OCUPACIONAL</t>
  </si>
  <si>
    <t>DEMOLIÇÕES</t>
  </si>
  <si>
    <t xml:space="preserve">PROGRAMAS E CAMPANHAS DE SEGURANÇA </t>
  </si>
  <si>
    <t>CONTRAPISO - MALL</t>
  </si>
  <si>
    <t xml:space="preserve">CONSUMO GERAL </t>
  </si>
  <si>
    <t>EQUIPAMENTOS DE PROTEÇÃO INDIVIDUAL</t>
  </si>
  <si>
    <t>LICENÇAS E TAXAS</t>
  </si>
  <si>
    <t>CONSULTORIAS</t>
  </si>
  <si>
    <t>LIMPEZA DE TERRENO E SUPRESSÃO VEGETAL</t>
  </si>
  <si>
    <t>INSTALAÇÕES - HIDROSSANITÁRIA E DRENAGEM - GARAGENS TORRES</t>
  </si>
  <si>
    <t>INSTALAÇÕES DE GÁS - MALL</t>
  </si>
  <si>
    <t>REDE ELÉTRICA - MALL</t>
  </si>
  <si>
    <t>INSTALAÇÕES DE SPDA - MALL</t>
  </si>
  <si>
    <t>INSTALAÇÕES - ELÉTRICA - MALL</t>
  </si>
  <si>
    <t>INFRAESTRUTURA - SISTEMA DE DRENAGEM</t>
  </si>
  <si>
    <t>CONTENÇÃO - MALL</t>
  </si>
  <si>
    <t>INSTALAÇÕES - ELÉTRICA - GARAGEM MALL</t>
  </si>
  <si>
    <t>FORMA - TORRE A</t>
  </si>
  <si>
    <t>REVESTIMENTO DE ARGAMASSA - GARAGEM MALL</t>
  </si>
  <si>
    <t>REBAIXAMENTO DE LENÇOL FREÁTICO - TORRE A</t>
  </si>
  <si>
    <t>BLOCO DE CONCRETO - MALL</t>
  </si>
  <si>
    <t>ESCAVAÇÃO E CARGA -TORRE A</t>
  </si>
  <si>
    <t>REBOCO - MALL</t>
  </si>
  <si>
    <t>REBAIXAMENTO DE LENÇOL FREÁTICO</t>
  </si>
  <si>
    <t>REVESTIMENTO DE ARGAMASSA - MALL</t>
  </si>
  <si>
    <t>INFRAESTRUTURA -  REDE ELÉTRICA</t>
  </si>
  <si>
    <t>LIMPEZA FINAL DE OBRA - GARAGEM MALL</t>
  </si>
  <si>
    <t>GESTÃO DE RESÍDUOS</t>
  </si>
  <si>
    <t>LIMPEZA DE FACHADA - GARAGEM MALL</t>
  </si>
  <si>
    <t>CONCRETO</t>
  </si>
  <si>
    <t>INSTALAÇÕES DE ARCONDICIONADO</t>
  </si>
  <si>
    <t>NOVAS TECNOLOGIAS</t>
  </si>
  <si>
    <t>CONCRETO POLIDO SOBRE SOLO</t>
  </si>
  <si>
    <t>INSTALAÇÕES HIDROSSANITÁRIAS E DRENAGEM</t>
  </si>
  <si>
    <t>MANTA ASFÁLTICA</t>
  </si>
  <si>
    <t>ESCAVAÇÃO E CARGA</t>
  </si>
  <si>
    <t>INSTALAÇÕES ELÉTRICAS</t>
  </si>
  <si>
    <t>RESERVATÓRIOS INFERIORES</t>
  </si>
  <si>
    <t>INSTALAÇÕES DE INCÊNDIO</t>
  </si>
  <si>
    <t>ESTACAS</t>
  </si>
  <si>
    <t>REVESTIMENTO DE ARGAMASSA</t>
  </si>
  <si>
    <t>PAVIMENTAÇÃO</t>
  </si>
  <si>
    <t>PAREDES EM DRYWALL</t>
  </si>
  <si>
    <t>GUINCHO CREMALHEIRA</t>
  </si>
  <si>
    <t>ARGAMASSA POLIMÉRICA</t>
  </si>
  <si>
    <t>CORRIMÃO EM AÇO INOX</t>
  </si>
  <si>
    <t>ESCORAMENTO</t>
  </si>
  <si>
    <t>SISTEMA DE DRENAGEM</t>
  </si>
  <si>
    <t>FUROS EM CONCRETO</t>
  </si>
  <si>
    <t>INSTALAÇÕES DE EXAUSTÃO MECANICA</t>
  </si>
  <si>
    <t>PROTEÇÃO MECÂNICA</t>
  </si>
  <si>
    <t/>
  </si>
  <si>
    <t xml:space="preserve">ESQUADRIA DE ALUMINIO </t>
  </si>
  <si>
    <t>ARMAÇÃO</t>
  </si>
  <si>
    <t>ELEVADOR</t>
  </si>
  <si>
    <t>CONTRAPISO</t>
  </si>
  <si>
    <t>BLOCO, BALDRAMES, SAPATAS</t>
  </si>
  <si>
    <t>BLOCO CERÂMICO</t>
  </si>
  <si>
    <t>CONTENÇÃO</t>
  </si>
  <si>
    <t>FACHADA EM ACM</t>
  </si>
  <si>
    <t>TÚNEL TÉCNICO</t>
  </si>
  <si>
    <t>PROJETOS</t>
  </si>
  <si>
    <t>ANDAIMES / BALANCIM DE FACHADA / PLATAFORMA AÉREA</t>
  </si>
  <si>
    <t>FORMA</t>
  </si>
  <si>
    <t>FUNDO FIXO DA OBRA</t>
  </si>
  <si>
    <t>INSTALAÇÕES DE SPDA</t>
  </si>
  <si>
    <t>INSTALAÇÕES DE CFTV</t>
  </si>
  <si>
    <t>BLOCO DE CONCRETO</t>
  </si>
  <si>
    <t>PISO EM PORCELANATO OU CERÂMICA</t>
  </si>
  <si>
    <t>PAISAGISMO</t>
  </si>
  <si>
    <t>REMOÇÃO DE MATERIAL EXCEDENTE</t>
  </si>
  <si>
    <t>LIXAMENTO ATÉ CHAPISCO</t>
  </si>
  <si>
    <t>PORTA CORTA FOGO</t>
  </si>
  <si>
    <t xml:space="preserve">REGULARIZAÇÃO E ACABAMENTOS </t>
  </si>
  <si>
    <t>SISTEMA DE ABASTECIMENTO DE ÁGUA</t>
  </si>
  <si>
    <t>FECHAMENTO DE SHAFT</t>
  </si>
  <si>
    <t>CONTRAMARCO</t>
  </si>
  <si>
    <t>COMUNICAÇÃO VISUAL</t>
  </si>
  <si>
    <t>AMBIENTAÇÃO GERAL DO EMPREENDIMENTO</t>
  </si>
  <si>
    <t>PERGOLADOS E GAZEBOS</t>
  </si>
  <si>
    <t>FECHAMENTO PERIMETRAL</t>
  </si>
  <si>
    <t>PISCINA</t>
  </si>
  <si>
    <t>QUADRA</t>
  </si>
  <si>
    <t>LIMPEZA DE RESERVATÓRIOS</t>
  </si>
  <si>
    <t>LIMPEZA FINAL DA OBRA</t>
  </si>
  <si>
    <t>LIMPEZA DE FACHADA</t>
  </si>
  <si>
    <t>EQUIPAMENTOS DE ARCONDICIONADO</t>
  </si>
  <si>
    <t>INSTALAÇÕES DE GÁS</t>
  </si>
  <si>
    <t>INSTALAÇÕES DE ANTENA</t>
  </si>
  <si>
    <t>INSTALAÇÕES DE TV</t>
  </si>
  <si>
    <t>INSTALAÇÕES DE VOZ</t>
  </si>
  <si>
    <t>INSTALAÇÕES DE DADOS</t>
  </si>
  <si>
    <t>INSTALAÇÕES DE SONORIZAÇÃO</t>
  </si>
  <si>
    <t>INSTALAÇÕES DE ALARME PERIMETRAL</t>
  </si>
  <si>
    <t>INSTALAÇÕES DE CONTROLE DE ACESSO</t>
  </si>
  <si>
    <t>INSTALAÇÕES DE IRRIGAÇÃO</t>
  </si>
  <si>
    <t>INSTALAÇÕES DE AUTOMAÇÃO</t>
  </si>
  <si>
    <t>METAIS E ACESSÓRIOS</t>
  </si>
  <si>
    <t>LOUÇAS E ACESSÓRIOS</t>
  </si>
  <si>
    <t xml:space="preserve">SOLEIRAS, CHAPINS, PORTAIS </t>
  </si>
  <si>
    <t>BALCÕES E BANCADAS</t>
  </si>
  <si>
    <t>OUTROS</t>
  </si>
  <si>
    <t>TEXTURA</t>
  </si>
  <si>
    <t>PINTURA EM EPÓXI</t>
  </si>
  <si>
    <t>PINTURA DE DEMARCAÇÃO</t>
  </si>
  <si>
    <t>PINTURA DE PISOS</t>
  </si>
  <si>
    <t>PINTURA DE TUBULAÇÃO</t>
  </si>
  <si>
    <t>PINTURA DE CORRIMÃO</t>
  </si>
  <si>
    <t>PINTURA DE PORTA CORTA FOGO</t>
  </si>
  <si>
    <t>PINTURA INTERNA</t>
  </si>
  <si>
    <t>OUTRAS</t>
  </si>
  <si>
    <t>FECHAMENTO DE SHAFT EM MDF</t>
  </si>
  <si>
    <t>FECHADURA ELETRÔNICA</t>
  </si>
  <si>
    <t>FERRAGENS</t>
  </si>
  <si>
    <t>PORTAS DE MADEIRA</t>
  </si>
  <si>
    <t>ESPELHOS</t>
  </si>
  <si>
    <t>VIDRO TEMPERADO</t>
  </si>
  <si>
    <t>CORRIMÃO EM AÇO GALVANIZADO</t>
  </si>
  <si>
    <t>GUARDA-CORPO</t>
  </si>
  <si>
    <t>PINTURA EXTERNA</t>
  </si>
  <si>
    <t>FACHADA ESPECIAL COM BRISE</t>
  </si>
  <si>
    <t>FACHADA EM CONCRETO APARENTE</t>
  </si>
  <si>
    <t>FACHADA VENTILADA</t>
  </si>
  <si>
    <t>REVESTIMENTO EM PORCELANATO OU CERÂMICA</t>
  </si>
  <si>
    <t>REVESTIMENTO EM PASTILHA</t>
  </si>
  <si>
    <t>REBOCO</t>
  </si>
  <si>
    <t>FORRO METÁLICO</t>
  </si>
  <si>
    <t>FORRO EM PVC</t>
  </si>
  <si>
    <t>FORRO EM MADEIRA</t>
  </si>
  <si>
    <t>FORRO EM GESSO ACARTONADO</t>
  </si>
  <si>
    <t>FORRO EM GESSO EM PLACAS</t>
  </si>
  <si>
    <t>REVESTIMENTO EM MADEIRA</t>
  </si>
  <si>
    <t>REVESTIMENTO EM PEDRAS NATURAIS</t>
  </si>
  <si>
    <t>REVESTIMENTO DE GESSO EM PASTA</t>
  </si>
  <si>
    <t>RODAPÉ</t>
  </si>
  <si>
    <t>PISO ELEVADO</t>
  </si>
  <si>
    <t>PISO VINÍLICO</t>
  </si>
  <si>
    <t>PISO EM PEDRAS NATURAIS</t>
  </si>
  <si>
    <t>ISOLAMENTO TÉRMICO</t>
  </si>
  <si>
    <t>BLOCO DE GESSO</t>
  </si>
  <si>
    <t>ESTRUTURAS METÁLICAS</t>
  </si>
  <si>
    <t>OUTRAS FUNDAÇÕES ESPECIAIS</t>
  </si>
  <si>
    <t>SISTEMA DE IRRIGAÇÃO</t>
  </si>
  <si>
    <t xml:space="preserve">REDE DE GÁS </t>
  </si>
  <si>
    <t>REDE DE ILUMINAÇÃO</t>
  </si>
  <si>
    <t>REDE DE TELEMÁTICA</t>
  </si>
  <si>
    <t>REDE ELÉTRICA</t>
  </si>
  <si>
    <t>SISTEMA DE ESGOTAMENTO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</si>
</sst>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10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name val="Calibri"/>
    </font>
    <font>
      <b/>
      <sz val="12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  <fill>
      <patternFill patternType="solid">
        <fgColor rgb="FF111827"/>
      </patternFill>
    </fill>
    <fill>
      <patternFill patternType="solid">
        <fgColor rgb="FF0B1220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hair">
        <color rgb="FF334155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8" fillId="0" borderId="7" xfId="0" applyFont="1" applyBorder="1"/>
    <xf numFmtId="4" fontId="0" fillId="0" borderId="7" xfId="0" applyNumberFormat="1" applyBorder="1"/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0" fontId="6" fillId="9" borderId="0" xfId="0" applyFont="1" applyFill="1" applyAlignment="1">
      <alignment horizontal="left" vertical="center"/>
    </xf>
    <xf numFmtId="0" fontId="0" fillId="0" borderId="0" xfId="0"/>
    <xf numFmtId="0" fontId="0" fillId="4" borderId="1" xfId="0" applyFill="1" applyBorder="1" applyAlignment="1">
      <alignment horizontal="left" vertical="center" wrapText="1"/>
    </xf>
    <xf numFmtId="0" fontId="0" fillId="0" borderId="1" xfId="0" applyBorder="1"/>
    <xf numFmtId="0" fontId="1" fillId="2" borderId="0" xfId="0" applyFont="1" applyFill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 wrapText="1"/>
    </xf>
    <xf numFmtId="10" fontId="9" fillId="8" borderId="0" xfId="2" applyNumberFormat="1" applyFont="1" applyFill="1" applyAlignment="1">
      <alignment vertical="center" wrapText="1"/>
    </xf>
  </cellXfs>
  <cellStyles count="3">
    <cellStyle name="Normal" xfId="0" builtinId="0"/>
    <cellStyle name="Porcentagem" xfId="2" builtinId="5"/>
    <cellStyle name="Porcentagem 2" xfId="1" xr:uid="{4750203C-3841-4AF9-A984-80383533471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4"/>
  <sheetViews>
    <sheetView showGridLines="0" workbookViewId="0">
      <pane xSplit="1" ySplit="2" topLeftCell="B3" activePane="bottomRight" state="frozen"/>
      <selection activeCell="E48" sqref="E48"/>
      <selection pane="topRight" activeCell="E48" sqref="E48"/>
      <selection pane="bottomLeft" activeCell="E48" sqref="E48"/>
      <selection pane="bottomRight" activeCell="E3" sqref="E3"/>
    </sheetView>
  </sheetViews>
  <sheetFormatPr defaultRowHeight="15" x14ac:dyDescent="0.25"/>
  <cols>
    <col min="1" max="1" width="12.5703125" bestFit="1" customWidth="1"/>
    <col min="2" max="17" width="13.85546875" bestFit="1" customWidth="1"/>
    <col min="18" max="18" width="14.5703125" bestFit="1" customWidth="1"/>
  </cols>
  <sheetData>
    <row r="1" spans="1:18" ht="24" customHeight="1" x14ac:dyDescent="0.25">
      <c r="A1" s="17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 ht="20.100000000000001" customHeight="1" x14ac:dyDescent="0.25">
      <c r="A2" s="12" t="s">
        <v>1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  <c r="H2" s="12" t="s">
        <v>8</v>
      </c>
      <c r="I2" s="12" t="s">
        <v>9</v>
      </c>
      <c r="J2" s="12" t="s">
        <v>10</v>
      </c>
      <c r="K2" s="12" t="s">
        <v>11</v>
      </c>
      <c r="L2" s="12" t="s">
        <v>12</v>
      </c>
      <c r="M2" s="12" t="s">
        <v>13</v>
      </c>
      <c r="N2" s="12" t="s">
        <v>14</v>
      </c>
      <c r="O2" s="12" t="s">
        <v>15</v>
      </c>
      <c r="P2" s="12" t="s">
        <v>16</v>
      </c>
      <c r="Q2" s="12" t="s">
        <v>17</v>
      </c>
      <c r="R2" s="12" t="s">
        <v>18</v>
      </c>
    </row>
    <row r="3" spans="1:18" x14ac:dyDescent="0.25">
      <c r="A3" s="13" t="s">
        <v>19</v>
      </c>
      <c r="B3" s="14"/>
      <c r="C3" s="14"/>
      <c r="D3" s="14">
        <v>104921201</v>
      </c>
      <c r="E3" s="14">
        <v>105200786.35920349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</row>
    <row r="4" spans="1:18" x14ac:dyDescent="0.25">
      <c r="A4" s="13" t="s">
        <v>20</v>
      </c>
      <c r="B4" s="14">
        <v>84882108.598360449</v>
      </c>
      <c r="C4" s="14">
        <v>85140318.229146495</v>
      </c>
      <c r="D4" s="14">
        <v>85220612.947520792</v>
      </c>
      <c r="E4" s="14">
        <v>85356933.030850247</v>
      </c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</sheetData>
  <mergeCells count="1">
    <mergeCell ref="A1:R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111E0-657F-4A9F-B5B7-68C7314A5C87}">
  <dimension ref="A1:L82"/>
  <sheetViews>
    <sheetView showGridLines="0" tabSelected="1" topLeftCell="A19" zoomScale="85" zoomScaleNormal="85" workbookViewId="0">
      <selection activeCell="B28" sqref="B28:E33"/>
    </sheetView>
  </sheetViews>
  <sheetFormatPr defaultRowHeight="15" x14ac:dyDescent="0.25"/>
  <cols>
    <col min="1" max="1" width="28.5703125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>
        <v>95747955.186726287</v>
      </c>
      <c r="C2" s="28"/>
      <c r="D2" s="20"/>
    </row>
    <row r="3" spans="1:6" x14ac:dyDescent="0.25">
      <c r="A3" s="1" t="s">
        <v>23</v>
      </c>
      <c r="B3" s="2">
        <v>105200786.35920349</v>
      </c>
      <c r="C3" s="19"/>
      <c r="D3" s="20"/>
    </row>
    <row r="4" spans="1:6" x14ac:dyDescent="0.25">
      <c r="A4" s="1" t="s">
        <v>24</v>
      </c>
      <c r="B4" s="2">
        <v>12614520.059999999</v>
      </c>
      <c r="C4" s="19"/>
      <c r="D4" s="20"/>
    </row>
    <row r="5" spans="1:6" x14ac:dyDescent="0.25">
      <c r="A5" s="1" t="s">
        <v>25</v>
      </c>
      <c r="B5" s="2">
        <v>946208.07000000007</v>
      </c>
      <c r="C5" s="19"/>
      <c r="D5" s="20"/>
    </row>
    <row r="6" spans="1:6" x14ac:dyDescent="0.25">
      <c r="A6" s="1" t="s">
        <v>26</v>
      </c>
      <c r="B6" s="2">
        <v>92218059.733999401</v>
      </c>
      <c r="C6" s="19"/>
      <c r="D6" s="20"/>
    </row>
    <row r="7" spans="1:6" x14ac:dyDescent="0.25">
      <c r="A7" s="1" t="s">
        <v>27</v>
      </c>
      <c r="B7" s="2">
        <v>105778787.86399938</v>
      </c>
      <c r="C7" s="19"/>
      <c r="D7" s="20"/>
    </row>
    <row r="8" spans="1:6" x14ac:dyDescent="0.25">
      <c r="A8" s="1" t="s">
        <v>18</v>
      </c>
      <c r="B8" s="2">
        <v>578001.50479591498</v>
      </c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45962</v>
      </c>
      <c r="B12" s="11">
        <v>1.0019</v>
      </c>
      <c r="D12" s="4">
        <v>45962</v>
      </c>
      <c r="E12" s="6">
        <v>3320658</v>
      </c>
      <c r="F12" s="6">
        <v>3579099</v>
      </c>
    </row>
    <row r="13" spans="1:6" x14ac:dyDescent="0.25">
      <c r="A13" s="4">
        <v>45992</v>
      </c>
      <c r="B13" s="11">
        <v>1.0107916164362709</v>
      </c>
      <c r="D13" s="4">
        <v>45992</v>
      </c>
      <c r="E13" s="6">
        <v>1934143.2499599508</v>
      </c>
      <c r="F13" s="6">
        <v>575505.31883323274</v>
      </c>
    </row>
    <row r="14" spans="1:6" x14ac:dyDescent="0.25">
      <c r="A14" s="4">
        <v>46023</v>
      </c>
      <c r="B14" s="5"/>
      <c r="D14" s="4">
        <v>46023</v>
      </c>
      <c r="E14" s="6"/>
      <c r="F14" s="6"/>
    </row>
    <row r="15" spans="1:6" x14ac:dyDescent="0.25">
      <c r="A15" s="4">
        <v>46054</v>
      </c>
      <c r="B15" s="5"/>
      <c r="D15" s="4">
        <v>46054</v>
      </c>
      <c r="E15" s="6"/>
      <c r="F15" s="6"/>
    </row>
    <row r="16" spans="1:6" x14ac:dyDescent="0.25">
      <c r="A16" s="4">
        <v>46082</v>
      </c>
      <c r="B16" s="5"/>
      <c r="D16" s="4">
        <v>46082</v>
      </c>
      <c r="E16" s="6"/>
      <c r="F16" s="6"/>
    </row>
    <row r="17" spans="1:8" x14ac:dyDescent="0.25">
      <c r="A17" s="4">
        <v>46113</v>
      </c>
      <c r="B17" s="5"/>
      <c r="D17" s="4">
        <v>46113</v>
      </c>
      <c r="E17" s="6"/>
      <c r="F17" s="6"/>
    </row>
    <row r="18" spans="1:8" x14ac:dyDescent="0.25">
      <c r="A18" s="4">
        <v>46143</v>
      </c>
      <c r="B18" s="5"/>
      <c r="D18" s="4">
        <v>46143</v>
      </c>
      <c r="E18" s="6"/>
      <c r="F18" s="6"/>
    </row>
    <row r="19" spans="1:8" x14ac:dyDescent="0.25">
      <c r="A19" s="4">
        <v>46174</v>
      </c>
      <c r="B19" s="5"/>
      <c r="D19" s="4">
        <v>46174</v>
      </c>
      <c r="E19" s="6"/>
      <c r="F19" s="6"/>
    </row>
    <row r="20" spans="1:8" x14ac:dyDescent="0.25">
      <c r="A20" s="4">
        <v>46204</v>
      </c>
      <c r="B20" s="5"/>
      <c r="D20" s="4">
        <v>46204</v>
      </c>
      <c r="E20" s="6"/>
      <c r="F20" s="6"/>
    </row>
    <row r="21" spans="1:8" x14ac:dyDescent="0.25">
      <c r="A21" s="4">
        <v>46235</v>
      </c>
      <c r="B21" s="5"/>
      <c r="D21" s="4">
        <v>46235</v>
      </c>
      <c r="E21" s="6"/>
      <c r="F21" s="6"/>
    </row>
    <row r="22" spans="1:8" x14ac:dyDescent="0.25">
      <c r="A22" s="4">
        <v>46266</v>
      </c>
      <c r="B22" s="5"/>
      <c r="D22" s="4">
        <v>46266</v>
      </c>
      <c r="E22" s="6"/>
      <c r="F22" s="6"/>
    </row>
    <row r="23" spans="1:8" x14ac:dyDescent="0.25">
      <c r="A23" s="4">
        <v>46296</v>
      </c>
      <c r="B23" s="5"/>
      <c r="D23" s="4">
        <v>46296</v>
      </c>
      <c r="E23" s="6"/>
      <c r="F23" s="6"/>
    </row>
    <row r="26" spans="1:8" ht="15.75" customHeight="1" x14ac:dyDescent="0.25">
      <c r="A26" s="10" t="s">
        <v>33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29</v>
      </c>
      <c r="B27" s="3" t="s">
        <v>34</v>
      </c>
      <c r="C27" s="3" t="s">
        <v>35</v>
      </c>
      <c r="D27" s="3" t="s">
        <v>36</v>
      </c>
      <c r="E27" s="3" t="s">
        <v>37</v>
      </c>
      <c r="F27" s="9"/>
      <c r="G27" s="9"/>
      <c r="H27" s="9"/>
    </row>
    <row r="28" spans="1:8" ht="15" customHeight="1" x14ac:dyDescent="0.25">
      <c r="A28" s="4">
        <v>45809</v>
      </c>
      <c r="B28" s="15">
        <v>4.9599999999999998E-2</v>
      </c>
      <c r="C28" s="16">
        <f>B28</f>
        <v>4.9599999999999998E-2</v>
      </c>
      <c r="D28" s="16">
        <v>4.9599999999999998E-2</v>
      </c>
      <c r="E28" s="16"/>
      <c r="F28" s="9"/>
      <c r="G28" s="9"/>
      <c r="H28" s="9"/>
    </row>
    <row r="29" spans="1:8" ht="15" customHeight="1" x14ac:dyDescent="0.25">
      <c r="A29" s="4">
        <v>45839</v>
      </c>
      <c r="B29" s="15">
        <v>8.4400000000000003E-2</v>
      </c>
      <c r="C29" s="16">
        <f>B29-B28</f>
        <v>3.4800000000000005E-2</v>
      </c>
      <c r="D29" s="16">
        <v>3.1599999999999996E-2</v>
      </c>
      <c r="E29" s="16">
        <v>8.443490503191993E-2</v>
      </c>
      <c r="F29" s="9"/>
      <c r="G29" s="9"/>
      <c r="H29" s="9"/>
    </row>
    <row r="30" spans="1:8" ht="15" customHeight="1" x14ac:dyDescent="0.25">
      <c r="A30" s="4">
        <v>45870</v>
      </c>
      <c r="B30" s="15">
        <v>0.14549999999999999</v>
      </c>
      <c r="C30" s="16">
        <f t="shared" ref="C30:C34" si="0">B30-B29</f>
        <v>6.1099999999999988E-2</v>
      </c>
      <c r="D30" s="16">
        <v>3.15E-2</v>
      </c>
      <c r="E30" s="16">
        <f>F30-E29</f>
        <v>4.9529648143983654E-2</v>
      </c>
      <c r="F30" s="16">
        <v>0.13396455317590358</v>
      </c>
      <c r="G30" s="9"/>
      <c r="H30" s="9"/>
    </row>
    <row r="31" spans="1:8" ht="15" customHeight="1" x14ac:dyDescent="0.25">
      <c r="A31" s="4">
        <v>45901</v>
      </c>
      <c r="B31" s="15">
        <v>0.2046</v>
      </c>
      <c r="C31" s="16">
        <f t="shared" si="0"/>
        <v>5.9100000000000014E-2</v>
      </c>
      <c r="D31" s="16">
        <v>5.0300000000000011E-2</v>
      </c>
      <c r="E31" s="16">
        <f>F31-F30</f>
        <v>2.4885268480710626E-2</v>
      </c>
      <c r="F31" s="16">
        <v>0.15884982165661421</v>
      </c>
      <c r="G31" s="9"/>
      <c r="H31" s="9"/>
    </row>
    <row r="32" spans="1:8" ht="15" customHeight="1" x14ac:dyDescent="0.25">
      <c r="A32" s="4">
        <v>45931</v>
      </c>
      <c r="B32" s="15">
        <v>0.28999999999999998</v>
      </c>
      <c r="C32" s="16">
        <f t="shared" si="0"/>
        <v>8.5399999999999976E-2</v>
      </c>
      <c r="D32" s="16">
        <v>4.9799999999999983E-2</v>
      </c>
      <c r="E32" s="16">
        <f>F32-F31</f>
        <v>7.0960619437287514E-2</v>
      </c>
      <c r="F32" s="29">
        <v>0.22981044109390172</v>
      </c>
      <c r="G32" s="9"/>
      <c r="H32" s="9"/>
    </row>
    <row r="33" spans="1:12" ht="15" customHeight="1" x14ac:dyDescent="0.25">
      <c r="A33" s="4">
        <v>45962</v>
      </c>
      <c r="B33" s="15">
        <v>0.35980000000000001</v>
      </c>
      <c r="C33" s="16">
        <f t="shared" si="0"/>
        <v>6.9800000000000029E-2</v>
      </c>
      <c r="D33" s="16">
        <v>5.4700000000000026E-2</v>
      </c>
      <c r="E33" s="16">
        <f t="shared" ref="E33:E35" si="1">F33-F32</f>
        <v>4.4333839021029248E-2</v>
      </c>
      <c r="F33" s="29">
        <v>0.27414428011493097</v>
      </c>
      <c r="G33" s="9"/>
      <c r="H33" s="9"/>
    </row>
    <row r="34" spans="1:12" ht="15" customHeight="1" x14ac:dyDescent="0.25">
      <c r="A34" s="4">
        <v>45992</v>
      </c>
      <c r="B34" s="15">
        <v>0.41889999999999999</v>
      </c>
      <c r="C34" s="16">
        <f t="shared" si="0"/>
        <v>5.9099999999999986E-2</v>
      </c>
      <c r="D34" s="16">
        <v>3.8999999999999979E-2</v>
      </c>
      <c r="E34" s="16">
        <f t="shared" si="1"/>
        <v>2.3903629244421576E-2</v>
      </c>
      <c r="F34" s="9">
        <v>0.29804790935935255</v>
      </c>
      <c r="G34" s="9"/>
      <c r="H34" s="9"/>
    </row>
    <row r="35" spans="1:12" ht="15" customHeight="1" x14ac:dyDescent="0.25">
      <c r="A35" s="4">
        <v>46023</v>
      </c>
      <c r="B35" s="15"/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46054</v>
      </c>
      <c r="B36" s="15"/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46082</v>
      </c>
      <c r="B37" s="15"/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46113</v>
      </c>
      <c r="B38" s="15"/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46143</v>
      </c>
      <c r="B39" s="15"/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46174</v>
      </c>
      <c r="B40" s="15"/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46204</v>
      </c>
      <c r="B41" s="15"/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46235</v>
      </c>
      <c r="B42" s="15"/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46266</v>
      </c>
      <c r="B43" s="15"/>
      <c r="C43" s="16"/>
      <c r="D43" s="16"/>
      <c r="E43" s="16"/>
      <c r="F43" s="9"/>
      <c r="G43" s="9"/>
      <c r="H43" s="9"/>
    </row>
    <row r="45" spans="1:12" ht="15" customHeight="1" x14ac:dyDescent="0.25">
      <c r="A45" s="8" t="s">
        <v>38</v>
      </c>
    </row>
    <row r="46" spans="1:12" ht="15.75" x14ac:dyDescent="0.25">
      <c r="A46" s="23" t="s">
        <v>39</v>
      </c>
      <c r="B46" s="24"/>
      <c r="C46" s="24"/>
      <c r="D46" s="24"/>
      <c r="E46" s="24"/>
      <c r="F46" s="25"/>
      <c r="G46" s="26" t="s">
        <v>40</v>
      </c>
      <c r="H46" s="27"/>
      <c r="I46" s="27"/>
      <c r="J46" s="27"/>
      <c r="K46" s="27"/>
      <c r="L46" s="27"/>
    </row>
    <row r="47" spans="1:12" ht="25.5" x14ac:dyDescent="0.25">
      <c r="A47" s="3" t="s">
        <v>41</v>
      </c>
      <c r="B47" s="3" t="s">
        <v>42</v>
      </c>
      <c r="C47" s="3" t="s">
        <v>43</v>
      </c>
      <c r="D47" s="3" t="s">
        <v>44</v>
      </c>
      <c r="E47" s="3" t="s">
        <v>45</v>
      </c>
      <c r="F47" s="3" t="s">
        <v>46</v>
      </c>
      <c r="G47" s="3" t="s">
        <v>41</v>
      </c>
      <c r="H47" s="3" t="s">
        <v>42</v>
      </c>
      <c r="I47" s="3" t="s">
        <v>43</v>
      </c>
      <c r="J47" s="3" t="s">
        <v>44</v>
      </c>
      <c r="K47" s="3" t="s">
        <v>45</v>
      </c>
      <c r="L47" s="3" t="s">
        <v>46</v>
      </c>
    </row>
    <row r="48" spans="1:12" x14ac:dyDescent="0.25">
      <c r="A48" s="7" t="s">
        <v>47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2">D48-C48</f>
        <v>505220.25128706032</v>
      </c>
      <c r="F48" s="6"/>
      <c r="G48" s="7" t="s">
        <v>48</v>
      </c>
      <c r="H48" s="6">
        <v>1101312</v>
      </c>
      <c r="I48" s="6">
        <v>1210536.6124694173</v>
      </c>
      <c r="J48" s="6">
        <v>533173.59053115034</v>
      </c>
      <c r="K48" s="6">
        <f t="shared" ref="K48:K82" si="3">J48-I48</f>
        <v>-677363.02193826693</v>
      </c>
      <c r="L48" s="6"/>
    </row>
    <row r="49" spans="1:12" x14ac:dyDescent="0.25">
      <c r="A49" s="7" t="s">
        <v>49</v>
      </c>
      <c r="B49" s="6">
        <v>787917.97424137034</v>
      </c>
      <c r="C49" s="6">
        <v>865103.87747254525</v>
      </c>
      <c r="D49" s="6">
        <v>1325255.8654901136</v>
      </c>
      <c r="E49" s="6">
        <f t="shared" si="2"/>
        <v>460151.98801756836</v>
      </c>
      <c r="F49" s="6"/>
      <c r="G49" s="7" t="s">
        <v>50</v>
      </c>
      <c r="H49" s="6">
        <v>403562.30499999999</v>
      </c>
      <c r="I49" s="6">
        <v>443072.80328695953</v>
      </c>
      <c r="J49" s="6">
        <v>38000</v>
      </c>
      <c r="K49" s="6">
        <f t="shared" si="3"/>
        <v>-405072.80328695953</v>
      </c>
      <c r="L49" s="6"/>
    </row>
    <row r="50" spans="1:12" x14ac:dyDescent="0.25">
      <c r="A50" s="7" t="s">
        <v>51</v>
      </c>
      <c r="B50" s="6">
        <v>1081269.0394285447</v>
      </c>
      <c r="C50" s="6">
        <v>1180224.1933234031</v>
      </c>
      <c r="D50" s="6">
        <v>1575361.2945652129</v>
      </c>
      <c r="E50" s="6">
        <f t="shared" si="2"/>
        <v>395137.10124180978</v>
      </c>
      <c r="F50" s="6"/>
      <c r="G50" s="7" t="s">
        <v>52</v>
      </c>
      <c r="H50" s="6">
        <v>1036308.4188272201</v>
      </c>
      <c r="I50" s="6">
        <v>1118067.7117323838</v>
      </c>
      <c r="J50" s="6">
        <v>751528.91999999981</v>
      </c>
      <c r="K50" s="6">
        <f t="shared" si="3"/>
        <v>-366538.79173238401</v>
      </c>
      <c r="L50" s="6"/>
    </row>
    <row r="51" spans="1:12" x14ac:dyDescent="0.25">
      <c r="A51" s="7" t="s">
        <v>53</v>
      </c>
      <c r="B51" s="6">
        <v>250122.70634257342</v>
      </c>
      <c r="C51" s="6">
        <v>265372.60115608358</v>
      </c>
      <c r="D51" s="6">
        <v>595980.34900000005</v>
      </c>
      <c r="E51" s="6">
        <f t="shared" si="2"/>
        <v>330607.74784391647</v>
      </c>
      <c r="F51" s="6"/>
      <c r="G51" s="7" t="s">
        <v>54</v>
      </c>
      <c r="H51" s="6">
        <v>6552768.188609994</v>
      </c>
      <c r="I51" s="6">
        <v>7195275.1540455455</v>
      </c>
      <c r="J51" s="6">
        <v>6979643.0849913238</v>
      </c>
      <c r="K51" s="6">
        <f t="shared" si="3"/>
        <v>-215632.06905422173</v>
      </c>
      <c r="L51" s="6"/>
    </row>
    <row r="52" spans="1:12" x14ac:dyDescent="0.25">
      <c r="A52" s="7" t="s">
        <v>55</v>
      </c>
      <c r="B52" s="6">
        <v>1047250.9327280399</v>
      </c>
      <c r="C52" s="6">
        <v>1146718.0595562137</v>
      </c>
      <c r="D52" s="6">
        <v>1402124.0727673639</v>
      </c>
      <c r="E52" s="6">
        <f t="shared" si="2"/>
        <v>255406.01321115019</v>
      </c>
      <c r="F52" s="6"/>
      <c r="G52" s="7" t="s">
        <v>56</v>
      </c>
      <c r="H52" s="6">
        <v>2281769.9259050437</v>
      </c>
      <c r="I52" s="6">
        <v>2510358.2682443662</v>
      </c>
      <c r="J52" s="6">
        <v>2379797.2632925045</v>
      </c>
      <c r="K52" s="6">
        <f t="shared" si="3"/>
        <v>-130561.00495186169</v>
      </c>
      <c r="L52" s="6"/>
    </row>
    <row r="53" spans="1:12" x14ac:dyDescent="0.25">
      <c r="A53" s="7" t="s">
        <v>57</v>
      </c>
      <c r="B53" s="6">
        <v>189595.55537503742</v>
      </c>
      <c r="C53" s="6">
        <v>208416.6173458405</v>
      </c>
      <c r="D53" s="6">
        <v>333578.6578235419</v>
      </c>
      <c r="E53" s="6">
        <f t="shared" si="2"/>
        <v>125162.0404777014</v>
      </c>
      <c r="F53" s="6"/>
      <c r="G53" s="7" t="s">
        <v>58</v>
      </c>
      <c r="H53" s="6">
        <v>120468.97134808052</v>
      </c>
      <c r="I53" s="6">
        <v>132557.10971606863</v>
      </c>
      <c r="J53" s="6">
        <v>20969.447752317341</v>
      </c>
      <c r="K53" s="6">
        <f t="shared" si="3"/>
        <v>-111587.66196375129</v>
      </c>
      <c r="L53" s="6"/>
    </row>
    <row r="54" spans="1:12" x14ac:dyDescent="0.25">
      <c r="A54" s="7" t="s">
        <v>59</v>
      </c>
      <c r="B54" s="6">
        <v>35576.962500000001</v>
      </c>
      <c r="C54" s="6">
        <v>37531.593955946548</v>
      </c>
      <c r="D54" s="6">
        <v>152743.4745762712</v>
      </c>
      <c r="E54" s="6">
        <f t="shared" si="2"/>
        <v>115211.88062032465</v>
      </c>
      <c r="F54" s="6"/>
      <c r="G54" s="7" t="s">
        <v>60</v>
      </c>
      <c r="H54" s="6">
        <v>185998.57226161737</v>
      </c>
      <c r="I54" s="6">
        <v>204299.65945951885</v>
      </c>
      <c r="J54" s="6">
        <v>94776.724043233306</v>
      </c>
      <c r="K54" s="6">
        <f t="shared" si="3"/>
        <v>-109522.93541628555</v>
      </c>
      <c r="L54" s="6"/>
    </row>
    <row r="55" spans="1:12" x14ac:dyDescent="0.25">
      <c r="A55" s="7" t="s">
        <v>61</v>
      </c>
      <c r="B55" s="6">
        <v>269218.88064693363</v>
      </c>
      <c r="C55" s="6">
        <v>296070.49249754817</v>
      </c>
      <c r="D55" s="6">
        <v>410512.39612769004</v>
      </c>
      <c r="E55" s="6">
        <f t="shared" si="2"/>
        <v>114441.90363014187</v>
      </c>
      <c r="F55" s="6"/>
      <c r="G55" s="7" t="s">
        <v>62</v>
      </c>
      <c r="H55" s="6">
        <v>604831.16726196418</v>
      </c>
      <c r="I55" s="6">
        <v>652420.25918788638</v>
      </c>
      <c r="J55" s="6">
        <v>586020.30520370253</v>
      </c>
      <c r="K55" s="6">
        <f t="shared" si="3"/>
        <v>-66399.953984183841</v>
      </c>
      <c r="L55" s="6"/>
    </row>
    <row r="56" spans="1:12" x14ac:dyDescent="0.25">
      <c r="A56" s="7" t="s">
        <v>63</v>
      </c>
      <c r="B56" s="6">
        <v>2275680</v>
      </c>
      <c r="C56" s="6">
        <v>2501909.6648655371</v>
      </c>
      <c r="D56" s="6">
        <v>2599681.689378371</v>
      </c>
      <c r="E56" s="6">
        <f t="shared" si="2"/>
        <v>97772.024512833916</v>
      </c>
      <c r="F56" s="6"/>
      <c r="G56" s="7" t="s">
        <v>64</v>
      </c>
      <c r="H56" s="6">
        <v>80220.992928192107</v>
      </c>
      <c r="I56" s="6">
        <v>87925.838322273572</v>
      </c>
      <c r="J56" s="6">
        <v>25430.606402661393</v>
      </c>
      <c r="K56" s="6">
        <f t="shared" si="3"/>
        <v>-62495.231919612183</v>
      </c>
      <c r="L56" s="6"/>
    </row>
    <row r="57" spans="1:12" x14ac:dyDescent="0.25">
      <c r="A57" s="7" t="s">
        <v>65</v>
      </c>
      <c r="B57" s="6">
        <v>57252.814142904615</v>
      </c>
      <c r="C57" s="6">
        <v>62997.695431186396</v>
      </c>
      <c r="D57" s="6">
        <v>158776.37321059153</v>
      </c>
      <c r="E57" s="6">
        <f t="shared" si="2"/>
        <v>95778.67777940513</v>
      </c>
      <c r="F57" s="6"/>
      <c r="G57" s="7" t="s">
        <v>66</v>
      </c>
      <c r="H57" s="6">
        <v>248668.76290445638</v>
      </c>
      <c r="I57" s="6">
        <v>272033.68041880854</v>
      </c>
      <c r="J57" s="6">
        <v>217057.60693628585</v>
      </c>
      <c r="K57" s="6">
        <f t="shared" si="3"/>
        <v>-54976.073482522683</v>
      </c>
      <c r="L57" s="6"/>
    </row>
    <row r="58" spans="1:12" x14ac:dyDescent="0.25">
      <c r="A58" s="7" t="s">
        <v>67</v>
      </c>
      <c r="B58" s="6">
        <v>107826.33696189984</v>
      </c>
      <c r="C58" s="6">
        <v>118611.83348175029</v>
      </c>
      <c r="D58" s="6">
        <v>207987.21348175028</v>
      </c>
      <c r="E58" s="6">
        <f t="shared" si="2"/>
        <v>89375.37999999999</v>
      </c>
      <c r="F58" s="6"/>
      <c r="G58" s="7" t="s">
        <v>68</v>
      </c>
      <c r="H58" s="6">
        <v>47400</v>
      </c>
      <c r="I58" s="6">
        <v>52156.226870959872</v>
      </c>
      <c r="J58" s="6">
        <v>0</v>
      </c>
      <c r="K58" s="6">
        <f t="shared" si="3"/>
        <v>-52156.226870959872</v>
      </c>
      <c r="L58" s="6"/>
    </row>
    <row r="59" spans="1:12" x14ac:dyDescent="0.25">
      <c r="A59" s="7" t="s">
        <v>69</v>
      </c>
      <c r="B59" s="6">
        <v>375221.55324750004</v>
      </c>
      <c r="C59" s="6">
        <v>408621.10441633413</v>
      </c>
      <c r="D59" s="6">
        <v>487685.09721314698</v>
      </c>
      <c r="E59" s="6">
        <f t="shared" si="2"/>
        <v>79063.992796812847</v>
      </c>
      <c r="F59" s="6"/>
      <c r="G59" s="7" t="s">
        <v>70</v>
      </c>
      <c r="H59" s="6">
        <v>323000</v>
      </c>
      <c r="I59" s="6">
        <v>354939.64977887005</v>
      </c>
      <c r="J59" s="6">
        <v>305485.09274884663</v>
      </c>
      <c r="K59" s="6">
        <f t="shared" si="3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2"/>
        <v>73379.11940467963</v>
      </c>
      <c r="F60" s="6"/>
      <c r="G60" s="7" t="s">
        <v>72</v>
      </c>
      <c r="H60" s="6">
        <v>44902.619999999995</v>
      </c>
      <c r="I60" s="6">
        <v>49408.253920263705</v>
      </c>
      <c r="J60" s="6">
        <v>0</v>
      </c>
      <c r="K60" s="6">
        <f t="shared" si="3"/>
        <v>-49408.253920263705</v>
      </c>
      <c r="L60" s="6"/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2"/>
        <v>67405.212924658787</v>
      </c>
      <c r="F61" s="6"/>
      <c r="G61" s="7" t="s">
        <v>74</v>
      </c>
      <c r="H61" s="6">
        <v>53834.780352640009</v>
      </c>
      <c r="I61" s="6">
        <v>59225.322341151899</v>
      </c>
      <c r="J61" s="6">
        <v>21171.357934263768</v>
      </c>
      <c r="K61" s="6">
        <f t="shared" si="3"/>
        <v>-38053.964406888132</v>
      </c>
      <c r="L61" s="6"/>
    </row>
    <row r="62" spans="1:12" x14ac:dyDescent="0.25">
      <c r="A62" s="7" t="s">
        <v>75</v>
      </c>
      <c r="B62" s="6">
        <v>632186.92102385126</v>
      </c>
      <c r="C62" s="6">
        <v>694336.65689924359</v>
      </c>
      <c r="D62" s="6">
        <v>757558.8628992436</v>
      </c>
      <c r="E62" s="6">
        <f t="shared" si="2"/>
        <v>63222.206000000006</v>
      </c>
      <c r="F62" s="6"/>
      <c r="G62" s="7" t="s">
        <v>76</v>
      </c>
      <c r="H62" s="6">
        <v>5441345.7542000003</v>
      </c>
      <c r="I62" s="6">
        <v>5962535.341289294</v>
      </c>
      <c r="J62" s="6">
        <v>5925790.8540378427</v>
      </c>
      <c r="K62" s="6">
        <f t="shared" si="3"/>
        <v>-36744.487251451239</v>
      </c>
      <c r="L62" s="6"/>
    </row>
    <row r="63" spans="1:12" x14ac:dyDescent="0.25">
      <c r="A63" s="7" t="s">
        <v>77</v>
      </c>
      <c r="B63" s="6">
        <v>83429.153030534027</v>
      </c>
      <c r="C63" s="6">
        <v>87642.37777688996</v>
      </c>
      <c r="D63" s="6">
        <v>145298.356</v>
      </c>
      <c r="E63" s="6">
        <f t="shared" si="2"/>
        <v>57655.97822311004</v>
      </c>
      <c r="F63" s="6"/>
      <c r="G63" s="7" t="s">
        <v>78</v>
      </c>
      <c r="H63" s="6">
        <v>233600</v>
      </c>
      <c r="I63" s="6">
        <v>256894.32588197562</v>
      </c>
      <c r="J63" s="6">
        <v>222076.63375866329</v>
      </c>
      <c r="K63" s="6">
        <f t="shared" si="3"/>
        <v>-34817.692123312328</v>
      </c>
      <c r="L63" s="6"/>
    </row>
    <row r="64" spans="1:12" x14ac:dyDescent="0.25">
      <c r="A64" s="7" t="s">
        <v>79</v>
      </c>
      <c r="B64" s="6">
        <v>2215133.855</v>
      </c>
      <c r="C64" s="6">
        <v>2437361.9630886614</v>
      </c>
      <c r="D64" s="6">
        <v>2483861.9630886614</v>
      </c>
      <c r="E64" s="6">
        <f t="shared" si="2"/>
        <v>46500</v>
      </c>
      <c r="F64" s="6"/>
      <c r="G64" s="7" t="s">
        <v>80</v>
      </c>
      <c r="H64" s="6">
        <v>47400</v>
      </c>
      <c r="I64" s="6">
        <v>52074.601313139894</v>
      </c>
      <c r="J64" s="6">
        <v>17801.34</v>
      </c>
      <c r="K64" s="6">
        <f t="shared" si="3"/>
        <v>-34273.261313139898</v>
      </c>
      <c r="L64" s="6"/>
    </row>
    <row r="65" spans="1:12" x14ac:dyDescent="0.25">
      <c r="A65" s="7" t="s">
        <v>81</v>
      </c>
      <c r="B65" s="6">
        <v>10819.4375</v>
      </c>
      <c r="C65" s="6">
        <v>11746.223671956868</v>
      </c>
      <c r="D65" s="6">
        <v>57845.723506970426</v>
      </c>
      <c r="E65" s="6">
        <f t="shared" si="2"/>
        <v>46099.499835013557</v>
      </c>
      <c r="F65" s="6"/>
      <c r="G65" s="7" t="s">
        <v>82</v>
      </c>
      <c r="H65" s="6">
        <v>650000.02933333337</v>
      </c>
      <c r="I65" s="6">
        <v>713899.37372633582</v>
      </c>
      <c r="J65" s="6">
        <v>682129.99926643865</v>
      </c>
      <c r="K65" s="6">
        <f t="shared" si="3"/>
        <v>-31769.374459897168</v>
      </c>
      <c r="L65" s="6"/>
    </row>
    <row r="66" spans="1:12" x14ac:dyDescent="0.25">
      <c r="A66" s="7" t="s">
        <v>83</v>
      </c>
      <c r="B66" s="6">
        <v>522720</v>
      </c>
      <c r="C66" s="6">
        <v>574204.25532855326</v>
      </c>
      <c r="D66" s="6">
        <v>615351.79254456575</v>
      </c>
      <c r="E66" s="6">
        <f t="shared" si="2"/>
        <v>41147.537216012483</v>
      </c>
      <c r="F66" s="6"/>
      <c r="G66" s="7" t="s">
        <v>84</v>
      </c>
      <c r="H66" s="6">
        <v>16719.925000000003</v>
      </c>
      <c r="I66" s="6">
        <v>18397.641383237002</v>
      </c>
      <c r="J66" s="6">
        <v>0</v>
      </c>
      <c r="K66" s="6">
        <f t="shared" si="3"/>
        <v>-18397.641383237002</v>
      </c>
      <c r="L66" s="6"/>
    </row>
    <row r="67" spans="1:12" x14ac:dyDescent="0.25">
      <c r="A67" s="7" t="s">
        <v>85</v>
      </c>
      <c r="B67" s="6">
        <v>384590.41845262051</v>
      </c>
      <c r="C67" s="6">
        <v>423181.12061629252</v>
      </c>
      <c r="D67" s="6">
        <v>463935.39261629252</v>
      </c>
      <c r="E67" s="6">
        <f t="shared" si="2"/>
        <v>40754.271999999997</v>
      </c>
      <c r="F67" s="6"/>
      <c r="G67" s="7" t="s">
        <v>86</v>
      </c>
      <c r="H67" s="6">
        <v>245360</v>
      </c>
      <c r="I67" s="6">
        <v>269418.21170744422</v>
      </c>
      <c r="J67" s="6">
        <v>252978.05884730394</v>
      </c>
      <c r="K67" s="6">
        <f t="shared" si="3"/>
        <v>-16440.152860140282</v>
      </c>
      <c r="L67" s="6"/>
    </row>
    <row r="68" spans="1:12" x14ac:dyDescent="0.25">
      <c r="A68" s="7" t="s">
        <v>87</v>
      </c>
      <c r="B68" s="6">
        <v>250000</v>
      </c>
      <c r="C68" s="6">
        <v>258670.94652034686</v>
      </c>
      <c r="D68" s="6">
        <v>281709.36</v>
      </c>
      <c r="E68" s="6">
        <f t="shared" si="2"/>
        <v>23038.413479653129</v>
      </c>
      <c r="F68" s="6"/>
      <c r="G68" s="7" t="s">
        <v>88</v>
      </c>
      <c r="H68" s="6">
        <v>26100</v>
      </c>
      <c r="I68" s="6">
        <v>28496.159208931313</v>
      </c>
      <c r="J68" s="6">
        <v>12192.85</v>
      </c>
      <c r="K68" s="6">
        <f t="shared" si="3"/>
        <v>-16303.309208931312</v>
      </c>
      <c r="L68" s="6"/>
    </row>
    <row r="69" spans="1:12" x14ac:dyDescent="0.25">
      <c r="A69" s="7" t="s">
        <v>89</v>
      </c>
      <c r="B69" s="6">
        <v>52787.786047755486</v>
      </c>
      <c r="C69" s="6">
        <v>58084.635973046934</v>
      </c>
      <c r="D69" s="6">
        <v>77678.225973046923</v>
      </c>
      <c r="E69" s="6">
        <f t="shared" si="2"/>
        <v>19593.589999999989</v>
      </c>
      <c r="F69" s="6"/>
      <c r="G69" s="7" t="s">
        <v>90</v>
      </c>
      <c r="H69" s="6">
        <v>379507.65</v>
      </c>
      <c r="I69" s="6">
        <v>416024.08795748133</v>
      </c>
      <c r="J69" s="6">
        <v>400158.23616089963</v>
      </c>
      <c r="K69" s="6">
        <f t="shared" si="3"/>
        <v>-15865.851796581701</v>
      </c>
      <c r="L69" s="6"/>
    </row>
    <row r="70" spans="1:12" x14ac:dyDescent="0.25">
      <c r="A70" s="7" t="s">
        <v>91</v>
      </c>
      <c r="B70" s="6">
        <v>400765.48</v>
      </c>
      <c r="C70" s="6">
        <v>439474.50785192783</v>
      </c>
      <c r="D70" s="6">
        <v>457993.70436862484</v>
      </c>
      <c r="E70" s="6">
        <f t="shared" si="2"/>
        <v>18519.196516697004</v>
      </c>
      <c r="F70" s="6"/>
      <c r="G70" s="7" t="s">
        <v>92</v>
      </c>
      <c r="H70" s="6">
        <v>90222.908418788778</v>
      </c>
      <c r="I70" s="6">
        <v>96636.264678799052</v>
      </c>
      <c r="J70" s="6">
        <v>85001.203459137629</v>
      </c>
      <c r="K70" s="6">
        <f t="shared" si="3"/>
        <v>-11635.061219661424</v>
      </c>
      <c r="L70" s="6"/>
    </row>
    <row r="71" spans="1:12" x14ac:dyDescent="0.25">
      <c r="A71" s="7" t="s">
        <v>93</v>
      </c>
      <c r="B71" s="6">
        <v>351700</v>
      </c>
      <c r="C71" s="6">
        <v>385920.15217851364</v>
      </c>
      <c r="D71" s="6">
        <v>401516.94060296775</v>
      </c>
      <c r="E71" s="6">
        <f t="shared" si="2"/>
        <v>15596.788424454106</v>
      </c>
      <c r="F71" s="6"/>
      <c r="G71" s="7" t="s">
        <v>94</v>
      </c>
      <c r="H71" s="6">
        <v>11403.052082228009</v>
      </c>
      <c r="I71" s="6">
        <v>12443.789295922272</v>
      </c>
      <c r="J71" s="6">
        <v>2500</v>
      </c>
      <c r="K71" s="6">
        <f t="shared" si="3"/>
        <v>-9943.7892959222718</v>
      </c>
      <c r="L71" s="6"/>
    </row>
    <row r="72" spans="1:12" ht="30" x14ac:dyDescent="0.25">
      <c r="A72" s="7" t="s">
        <v>95</v>
      </c>
      <c r="B72" s="6">
        <v>75836.522803676606</v>
      </c>
      <c r="C72" s="6">
        <v>83446.136887199988</v>
      </c>
      <c r="D72" s="6">
        <v>90532.932887199975</v>
      </c>
      <c r="E72" s="6">
        <f t="shared" si="2"/>
        <v>7086.7959999999875</v>
      </c>
      <c r="F72" s="6"/>
      <c r="G72" s="7" t="s">
        <v>96</v>
      </c>
      <c r="H72" s="6">
        <v>3600</v>
      </c>
      <c r="I72" s="6">
        <v>3961.2324205792306</v>
      </c>
      <c r="J72" s="6">
        <v>0</v>
      </c>
      <c r="K72" s="6">
        <f t="shared" si="3"/>
        <v>-3961.2324205792306</v>
      </c>
      <c r="L72" s="6"/>
    </row>
    <row r="73" spans="1:12" x14ac:dyDescent="0.25">
      <c r="A73" s="7" t="s">
        <v>97</v>
      </c>
      <c r="B73" s="6">
        <v>1288479.01</v>
      </c>
      <c r="C73" s="6">
        <v>1417768.0076799537</v>
      </c>
      <c r="D73" s="6">
        <v>1423409.2376799537</v>
      </c>
      <c r="E73" s="6">
        <f t="shared" si="2"/>
        <v>5641.2299999999814</v>
      </c>
      <c r="F73" s="6"/>
      <c r="G73" s="7" t="s">
        <v>98</v>
      </c>
      <c r="H73" s="6">
        <v>29550.53354690081</v>
      </c>
      <c r="I73" s="6">
        <v>32515.204598170272</v>
      </c>
      <c r="J73" s="6">
        <v>29009.887637604497</v>
      </c>
      <c r="K73" s="6">
        <f t="shared" si="3"/>
        <v>-3505.3169605657749</v>
      </c>
      <c r="L73" s="6"/>
    </row>
    <row r="74" spans="1:12" x14ac:dyDescent="0.25">
      <c r="A74" s="7" t="s">
        <v>99</v>
      </c>
      <c r="B74" s="6">
        <v>69401.564133824344</v>
      </c>
      <c r="C74" s="6">
        <v>76347.999948027136</v>
      </c>
      <c r="D74" s="6">
        <v>81865.739948027127</v>
      </c>
      <c r="E74" s="6">
        <f t="shared" si="2"/>
        <v>5517.7399999999907</v>
      </c>
      <c r="F74" s="6"/>
      <c r="G74" s="7" t="s">
        <v>100</v>
      </c>
      <c r="H74" s="6">
        <v>101074.42118806772</v>
      </c>
      <c r="I74" s="6">
        <v>111216.46502818173</v>
      </c>
      <c r="J74" s="6">
        <v>108757.64962313166</v>
      </c>
      <c r="K74" s="6">
        <f t="shared" si="3"/>
        <v>-2458.8154050500743</v>
      </c>
      <c r="L74" s="6"/>
    </row>
    <row r="75" spans="1:12" x14ac:dyDescent="0.25">
      <c r="A75" s="7" t="s">
        <v>101</v>
      </c>
      <c r="B75" s="6">
        <v>25747.928568365201</v>
      </c>
      <c r="C75" s="6">
        <v>28287.134418739417</v>
      </c>
      <c r="D75" s="6">
        <v>32143.734751860236</v>
      </c>
      <c r="E75" s="6">
        <f t="shared" si="2"/>
        <v>3856.6003331208194</v>
      </c>
      <c r="F75" s="6"/>
      <c r="G75" s="7" t="s">
        <v>102</v>
      </c>
      <c r="H75" s="6">
        <v>17815.142836013587</v>
      </c>
      <c r="I75" s="6">
        <v>19602.755938685234</v>
      </c>
      <c r="J75" s="6">
        <v>17858.41959306084</v>
      </c>
      <c r="K75" s="6">
        <f t="shared" si="3"/>
        <v>-1744.3363456243933</v>
      </c>
      <c r="L75" s="6"/>
    </row>
    <row r="76" spans="1:12" x14ac:dyDescent="0.25">
      <c r="A76" s="7" t="s">
        <v>103</v>
      </c>
      <c r="B76" s="6">
        <v>1335561.9885516798</v>
      </c>
      <c r="C76" s="6">
        <v>1469098.643101532</v>
      </c>
      <c r="D76" s="6">
        <v>1472298.643101532</v>
      </c>
      <c r="E76" s="6">
        <f t="shared" si="2"/>
        <v>3200</v>
      </c>
      <c r="F76" s="6"/>
      <c r="G76" s="7" t="s">
        <v>104</v>
      </c>
      <c r="H76" s="6">
        <v>40840.894970129266</v>
      </c>
      <c r="I76" s="6">
        <v>44938.96590031869</v>
      </c>
      <c r="J76" s="6">
        <v>43629.69394239071</v>
      </c>
      <c r="K76" s="6">
        <f t="shared" si="3"/>
        <v>-1309.2719579279801</v>
      </c>
      <c r="L76" s="6"/>
    </row>
    <row r="77" spans="1:12" x14ac:dyDescent="0.25">
      <c r="A77" s="7" t="s">
        <v>105</v>
      </c>
      <c r="B77" s="6">
        <v>47400</v>
      </c>
      <c r="C77" s="6">
        <v>52147.935404396259</v>
      </c>
      <c r="D77" s="6">
        <v>54956.226870959872</v>
      </c>
      <c r="E77" s="6">
        <f t="shared" si="2"/>
        <v>2808.2914665636126</v>
      </c>
      <c r="F77" s="6"/>
      <c r="G77" s="7" t="s">
        <v>106</v>
      </c>
      <c r="H77" s="6">
        <v>3994.042474296928</v>
      </c>
      <c r="I77" s="6">
        <v>4394.8140384320786</v>
      </c>
      <c r="J77" s="6">
        <v>4009.2261092732724</v>
      </c>
      <c r="K77" s="6">
        <f t="shared" si="3"/>
        <v>-385.58792915880622</v>
      </c>
      <c r="L77" s="6"/>
    </row>
    <row r="78" spans="1:12" x14ac:dyDescent="0.25">
      <c r="A78" s="7" t="s">
        <v>107</v>
      </c>
      <c r="B78" s="6">
        <v>41837.040000000001</v>
      </c>
      <c r="C78" s="6">
        <v>46035.066452519481</v>
      </c>
      <c r="D78" s="6">
        <v>47172.816452519481</v>
      </c>
      <c r="E78" s="6">
        <f t="shared" si="2"/>
        <v>1137.75</v>
      </c>
      <c r="F78" s="6"/>
      <c r="G78" s="7" t="s">
        <v>108</v>
      </c>
      <c r="H78" s="6">
        <v>163896.06145440001</v>
      </c>
      <c r="I78" s="6">
        <v>180341.77562178206</v>
      </c>
      <c r="J78" s="6">
        <v>180057.82562178205</v>
      </c>
      <c r="K78" s="6">
        <f t="shared" si="3"/>
        <v>-283.95000000001164</v>
      </c>
      <c r="L78" s="6"/>
    </row>
    <row r="79" spans="1:12" x14ac:dyDescent="0.25">
      <c r="A79" s="7" t="s">
        <v>109</v>
      </c>
      <c r="B79" s="6">
        <v>176569.91140400001</v>
      </c>
      <c r="C79" s="6">
        <v>194287.34932009096</v>
      </c>
      <c r="D79" s="6">
        <v>195117.77932009095</v>
      </c>
      <c r="E79" s="6">
        <f t="shared" si="2"/>
        <v>830.42999999999302</v>
      </c>
      <c r="F79" s="6"/>
      <c r="G79" s="7" t="s">
        <v>110</v>
      </c>
      <c r="H79" s="6">
        <v>24084.091797531873</v>
      </c>
      <c r="I79" s="6">
        <v>26500.745902386003</v>
      </c>
      <c r="J79" s="6">
        <v>26265.328378057136</v>
      </c>
      <c r="K79" s="6">
        <f t="shared" si="3"/>
        <v>-235.41752432886642</v>
      </c>
      <c r="L79" s="6"/>
    </row>
    <row r="80" spans="1:12" x14ac:dyDescent="0.25">
      <c r="A80" s="7" t="s">
        <v>111</v>
      </c>
      <c r="B80" s="6">
        <v>1818749.1038897291</v>
      </c>
      <c r="C80" s="6">
        <v>2001244.0463697994</v>
      </c>
      <c r="D80" s="6">
        <v>2001805.8431187263</v>
      </c>
      <c r="E80" s="6">
        <f t="shared" si="2"/>
        <v>561.79674892686307</v>
      </c>
      <c r="F80" s="6"/>
      <c r="G80" s="7" t="s">
        <v>112</v>
      </c>
      <c r="H80" s="6">
        <v>8420.2799999999988</v>
      </c>
      <c r="I80" s="6">
        <v>9265.190590654136</v>
      </c>
      <c r="J80" s="6">
        <v>9265.190590654136</v>
      </c>
      <c r="K80" s="6">
        <f t="shared" si="3"/>
        <v>0</v>
      </c>
      <c r="L80" s="6"/>
    </row>
    <row r="81" spans="1:12" x14ac:dyDescent="0.25">
      <c r="A81" s="7" t="s">
        <v>113</v>
      </c>
      <c r="B81" s="6">
        <v>220000</v>
      </c>
      <c r="C81" s="6">
        <v>241952.54893491842</v>
      </c>
      <c r="D81" s="6">
        <v>242369.70315291287</v>
      </c>
      <c r="E81" s="6">
        <f t="shared" si="2"/>
        <v>417.15421799445176</v>
      </c>
      <c r="F81" s="6"/>
      <c r="G81" s="7" t="s">
        <v>114</v>
      </c>
      <c r="H81" s="6">
        <v>1425.06</v>
      </c>
      <c r="I81" s="6">
        <v>1568.0538536862887</v>
      </c>
      <c r="J81" s="6">
        <v>1568.0538536862887</v>
      </c>
      <c r="K81" s="6">
        <f t="shared" si="3"/>
        <v>0</v>
      </c>
      <c r="L81" s="6"/>
    </row>
    <row r="82" spans="1:12" x14ac:dyDescent="0.25">
      <c r="A82" s="7"/>
      <c r="B82" s="6"/>
      <c r="C82" s="6"/>
      <c r="D82" s="6"/>
      <c r="E82" s="6">
        <f t="shared" si="2"/>
        <v>0</v>
      </c>
      <c r="F82" s="6"/>
      <c r="G82" s="7"/>
      <c r="H82" s="6"/>
      <c r="I82" s="6"/>
      <c r="J82" s="6"/>
      <c r="K82" s="6">
        <f t="shared" si="3"/>
        <v>0</v>
      </c>
      <c r="L82" s="6"/>
    </row>
  </sheetData>
  <mergeCells count="12">
    <mergeCell ref="G46:L46"/>
    <mergeCell ref="A1:D1"/>
    <mergeCell ref="C2:D2"/>
    <mergeCell ref="C3:D3"/>
    <mergeCell ref="C4:D4"/>
    <mergeCell ref="C5:D5"/>
    <mergeCell ref="C6:D6"/>
    <mergeCell ref="C7:D7"/>
    <mergeCell ref="C8:D8"/>
    <mergeCell ref="A10:B10"/>
    <mergeCell ref="D10:F10"/>
    <mergeCell ref="A46:F4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A390-8439-4F48-8606-447800E59EA2}">
  <dimension ref="A1:L199"/>
  <sheetViews>
    <sheetView showGridLines="0" topLeftCell="A47" zoomScale="70" zoomScaleNormal="70" workbookViewId="0">
      <selection activeCell="F13" sqref="F13:F16"/>
    </sheetView>
  </sheetViews>
  <sheetFormatPr defaultRowHeight="15" x14ac:dyDescent="0.25"/>
  <cols>
    <col min="1" max="1" width="63" customWidth="1"/>
    <col min="2" max="2" width="25" bestFit="1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>
        <v>76556812.448936924</v>
      </c>
      <c r="C2" s="28"/>
      <c r="D2" s="20"/>
    </row>
    <row r="3" spans="1:6" x14ac:dyDescent="0.25">
      <c r="A3" s="1" t="s">
        <v>23</v>
      </c>
      <c r="B3" s="2">
        <v>85356933.030850247</v>
      </c>
      <c r="C3" s="19"/>
      <c r="D3" s="20"/>
    </row>
    <row r="4" spans="1:6" x14ac:dyDescent="0.25">
      <c r="A4" s="1" t="s">
        <v>24</v>
      </c>
      <c r="B4" s="2">
        <v>43096664.644565918</v>
      </c>
      <c r="C4" s="19"/>
      <c r="D4" s="20"/>
    </row>
    <row r="5" spans="1:6" x14ac:dyDescent="0.25">
      <c r="A5" s="1" t="s">
        <v>25</v>
      </c>
      <c r="B5" s="2">
        <v>4179275.1200000006</v>
      </c>
      <c r="C5" s="19"/>
      <c r="D5" s="20"/>
    </row>
    <row r="6" spans="1:6" x14ac:dyDescent="0.25">
      <c r="A6" s="1" t="s">
        <v>26</v>
      </c>
      <c r="B6" s="2">
        <v>35262840.922209106</v>
      </c>
      <c r="C6" s="19"/>
      <c r="D6" s="20"/>
    </row>
    <row r="7" spans="1:6" x14ac:dyDescent="0.25">
      <c r="A7" s="1" t="s">
        <v>27</v>
      </c>
      <c r="B7" s="2">
        <v>82538780.686775029</v>
      </c>
      <c r="C7" s="19"/>
      <c r="D7" s="20"/>
    </row>
    <row r="8" spans="1:6" x14ac:dyDescent="0.25">
      <c r="A8" s="1" t="s">
        <v>18</v>
      </c>
      <c r="B8" s="2">
        <v>-2818152.3440752043</v>
      </c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45901</v>
      </c>
      <c r="B12" s="5">
        <v>0.97060000000000002</v>
      </c>
      <c r="D12" s="4">
        <v>45901</v>
      </c>
      <c r="E12" s="6">
        <v>2803333.99</v>
      </c>
      <c r="F12" s="6"/>
    </row>
    <row r="13" spans="1:6" x14ac:dyDescent="0.25">
      <c r="A13" s="4">
        <v>45931</v>
      </c>
      <c r="B13" s="5">
        <v>0.96309999999999996</v>
      </c>
      <c r="D13" s="4">
        <v>45931</v>
      </c>
      <c r="E13" s="6">
        <v>2522588.6100000003</v>
      </c>
      <c r="F13" s="6"/>
    </row>
    <row r="14" spans="1:6" x14ac:dyDescent="0.25">
      <c r="A14" s="4">
        <v>45962</v>
      </c>
      <c r="B14" s="5">
        <v>0.96760000000000002</v>
      </c>
      <c r="D14" s="4">
        <v>45962</v>
      </c>
      <c r="E14" s="6">
        <v>1906055.89978546</v>
      </c>
      <c r="F14" s="6"/>
    </row>
    <row r="15" spans="1:6" x14ac:dyDescent="0.25">
      <c r="A15" s="4">
        <v>45992</v>
      </c>
      <c r="B15" s="5">
        <v>0.96699999999999997</v>
      </c>
      <c r="D15" s="4">
        <v>45992</v>
      </c>
      <c r="E15" s="6">
        <v>3915252.9371922617</v>
      </c>
      <c r="F15" s="6">
        <v>2092972.6498989111</v>
      </c>
    </row>
    <row r="16" spans="1:6" x14ac:dyDescent="0.25">
      <c r="A16" s="4">
        <v>46023</v>
      </c>
      <c r="B16" s="11"/>
      <c r="D16" s="4">
        <v>46023</v>
      </c>
      <c r="E16" s="6"/>
      <c r="F16" s="6"/>
    </row>
    <row r="17" spans="1:8" x14ac:dyDescent="0.25">
      <c r="A17" s="4">
        <v>46054</v>
      </c>
      <c r="B17" s="5"/>
      <c r="D17" s="4">
        <v>46054</v>
      </c>
      <c r="E17" s="6"/>
      <c r="F17" s="6"/>
    </row>
    <row r="18" spans="1:8" x14ac:dyDescent="0.25">
      <c r="A18" s="4">
        <v>46082</v>
      </c>
      <c r="B18" s="5"/>
      <c r="D18" s="4">
        <v>46082</v>
      </c>
      <c r="E18" s="6"/>
      <c r="F18" s="6"/>
    </row>
    <row r="19" spans="1:8" x14ac:dyDescent="0.25">
      <c r="A19" s="4">
        <v>46113</v>
      </c>
      <c r="B19" s="5"/>
      <c r="D19" s="4">
        <v>46113</v>
      </c>
      <c r="E19" s="6"/>
      <c r="F19" s="6"/>
    </row>
    <row r="20" spans="1:8" x14ac:dyDescent="0.25">
      <c r="A20" s="4">
        <v>46143</v>
      </c>
      <c r="B20" s="5"/>
      <c r="D20" s="4">
        <v>46143</v>
      </c>
      <c r="E20" s="6"/>
      <c r="F20" s="6"/>
    </row>
    <row r="21" spans="1:8" x14ac:dyDescent="0.25">
      <c r="A21" s="4">
        <v>46174</v>
      </c>
      <c r="B21" s="5"/>
      <c r="D21" s="4">
        <v>46174</v>
      </c>
      <c r="E21" s="6"/>
      <c r="F21" s="6"/>
    </row>
    <row r="22" spans="1:8" x14ac:dyDescent="0.25">
      <c r="A22" s="4">
        <v>46204</v>
      </c>
      <c r="B22" s="5"/>
      <c r="D22" s="4">
        <v>46204</v>
      </c>
      <c r="E22" s="6"/>
      <c r="F22" s="6"/>
    </row>
    <row r="25" spans="1:8" ht="15.75" customHeight="1" x14ac:dyDescent="0.25">
      <c r="A25" s="10" t="s">
        <v>33</v>
      </c>
      <c r="B25" s="10"/>
      <c r="C25" s="10"/>
      <c r="D25" s="10"/>
      <c r="F25" s="9"/>
      <c r="G25" s="9"/>
      <c r="H25" s="9"/>
    </row>
    <row r="26" spans="1:8" ht="25.5" x14ac:dyDescent="0.25">
      <c r="A26" s="3" t="s">
        <v>29</v>
      </c>
      <c r="B26" s="3" t="s">
        <v>34</v>
      </c>
      <c r="C26" s="3" t="s">
        <v>35</v>
      </c>
      <c r="D26" s="3" t="s">
        <v>36</v>
      </c>
      <c r="E26" s="3" t="s">
        <v>37</v>
      </c>
      <c r="F26" s="9"/>
      <c r="G26" s="9"/>
      <c r="H26" s="9"/>
    </row>
    <row r="27" spans="1:8" ht="15" customHeight="1" x14ac:dyDescent="0.25">
      <c r="A27" s="4">
        <v>45901</v>
      </c>
      <c r="B27" s="15">
        <v>0.2760034946049067</v>
      </c>
      <c r="C27" s="16"/>
      <c r="D27" s="16">
        <v>0.3035522019491716</v>
      </c>
      <c r="E27" s="16"/>
      <c r="F27" s="9"/>
      <c r="G27" s="9"/>
      <c r="H27" s="9"/>
    </row>
    <row r="28" spans="1:8" ht="15" customHeight="1" x14ac:dyDescent="0.25">
      <c r="A28" s="4">
        <v>45931</v>
      </c>
      <c r="B28" s="15">
        <v>0.30004879676642482</v>
      </c>
      <c r="C28" s="16">
        <f>B28-B27</f>
        <v>2.4045302161518123E-2</v>
      </c>
      <c r="D28" s="16">
        <v>0.34005220194917157</v>
      </c>
      <c r="E28" s="16">
        <v>1.95E-2</v>
      </c>
      <c r="F28" s="9"/>
      <c r="G28" s="9"/>
      <c r="H28" s="9"/>
    </row>
    <row r="29" spans="1:8" ht="15" customHeight="1" x14ac:dyDescent="0.25">
      <c r="A29" s="4">
        <v>45962</v>
      </c>
      <c r="B29" s="15">
        <v>0.31921016408737057</v>
      </c>
      <c r="C29" s="16">
        <f t="shared" ref="C29:C33" si="0">B29-B28</f>
        <v>1.9161367320945755E-2</v>
      </c>
      <c r="D29" s="16">
        <v>0.35425220194917156</v>
      </c>
      <c r="E29" s="16">
        <v>1.1282943054188976E-2</v>
      </c>
      <c r="F29" s="9"/>
      <c r="G29" s="9"/>
      <c r="H29" s="9"/>
    </row>
    <row r="30" spans="1:8" ht="15" customHeight="1" x14ac:dyDescent="0.25">
      <c r="A30" s="4">
        <v>45992</v>
      </c>
      <c r="B30" s="15">
        <v>0.353702900671437</v>
      </c>
      <c r="C30" s="16">
        <f t="shared" si="0"/>
        <v>3.449273658406643E-2</v>
      </c>
      <c r="D30" s="16">
        <v>0.37455220194917155</v>
      </c>
      <c r="E30" s="16">
        <v>1.3690483855928692E-2</v>
      </c>
      <c r="F30" s="9"/>
      <c r="G30" s="9"/>
      <c r="H30" s="9"/>
    </row>
    <row r="31" spans="1:8" ht="15" customHeight="1" x14ac:dyDescent="0.25">
      <c r="A31" s="4">
        <v>46023</v>
      </c>
      <c r="B31" s="15">
        <v>0.3866630790073935</v>
      </c>
      <c r="C31" s="16">
        <f t="shared" si="0"/>
        <v>3.2960178335956491E-2</v>
      </c>
      <c r="D31" s="16"/>
      <c r="E31" s="16">
        <v>2.8061864704111317E-2</v>
      </c>
      <c r="F31" s="9"/>
      <c r="G31" s="9"/>
      <c r="H31" s="9"/>
    </row>
    <row r="32" spans="1:8" ht="15" customHeight="1" x14ac:dyDescent="0.25">
      <c r="A32" s="4">
        <v>46054</v>
      </c>
      <c r="B32" s="15">
        <v>0.41826740339753549</v>
      </c>
      <c r="C32" s="16">
        <f t="shared" si="0"/>
        <v>3.1604324390141991E-2</v>
      </c>
      <c r="D32" s="16"/>
      <c r="E32" s="16">
        <v>3.1766806528542968E-2</v>
      </c>
      <c r="F32" s="9"/>
      <c r="G32" s="9"/>
      <c r="H32" s="9"/>
    </row>
    <row r="33" spans="1:12" ht="15" customHeight="1" x14ac:dyDescent="0.25">
      <c r="A33" s="4">
        <v>46082</v>
      </c>
      <c r="B33" s="15">
        <v>0.46506229263394183</v>
      </c>
      <c r="C33" s="16">
        <f t="shared" si="0"/>
        <v>4.6794889236406345E-2</v>
      </c>
      <c r="D33" s="16"/>
      <c r="E33" s="16">
        <v>4.6538941242902532E-2</v>
      </c>
      <c r="F33" s="9"/>
      <c r="G33" s="9"/>
      <c r="H33" s="9"/>
    </row>
    <row r="34" spans="1:12" ht="15" customHeight="1" x14ac:dyDescent="0.25">
      <c r="A34" s="4">
        <v>46113</v>
      </c>
      <c r="B34" s="15">
        <v>0.51684835779205929</v>
      </c>
      <c r="C34" s="16"/>
      <c r="D34" s="16"/>
      <c r="E34" s="16"/>
      <c r="F34" s="9"/>
      <c r="G34" s="9"/>
      <c r="H34" s="9"/>
    </row>
    <row r="35" spans="1:12" ht="15" customHeight="1" x14ac:dyDescent="0.25">
      <c r="A35" s="4">
        <v>46143</v>
      </c>
      <c r="B35" s="15">
        <v>0.5709273425188417</v>
      </c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46174</v>
      </c>
      <c r="B36" s="15">
        <v>0.6239729389982771</v>
      </c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46204</v>
      </c>
      <c r="B37" s="15">
        <v>0.68374646662365379</v>
      </c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46235</v>
      </c>
      <c r="B38" s="15">
        <v>0.74032036236697996</v>
      </c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46266</v>
      </c>
      <c r="B39" s="15">
        <v>0.79067335825390994</v>
      </c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46296</v>
      </c>
      <c r="B40" s="15">
        <v>0.84741552925100394</v>
      </c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46327</v>
      </c>
      <c r="B41" s="15">
        <v>0.90102785914090344</v>
      </c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46357</v>
      </c>
      <c r="B42" s="15">
        <v>0.95174430861253545</v>
      </c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46388</v>
      </c>
      <c r="B43" s="15">
        <v>0.98821437769448406</v>
      </c>
      <c r="C43" s="16"/>
      <c r="D43" s="16"/>
      <c r="E43" s="16"/>
      <c r="F43" s="9"/>
      <c r="G43" s="9"/>
      <c r="H43" s="9"/>
    </row>
    <row r="44" spans="1:12" ht="15" customHeight="1" x14ac:dyDescent="0.25">
      <c r="A44" s="4">
        <v>46419</v>
      </c>
      <c r="B44" s="15">
        <v>1</v>
      </c>
      <c r="C44" s="16"/>
      <c r="D44" s="16"/>
      <c r="E44" s="16"/>
      <c r="F44" s="9"/>
      <c r="G44" s="9"/>
      <c r="H44" s="9"/>
    </row>
    <row r="46" spans="1:12" ht="15" customHeight="1" x14ac:dyDescent="0.25">
      <c r="A46" s="8" t="s">
        <v>38</v>
      </c>
    </row>
    <row r="47" spans="1:12" ht="15.75" x14ac:dyDescent="0.25">
      <c r="A47" s="23" t="s">
        <v>39</v>
      </c>
      <c r="B47" s="24"/>
      <c r="C47" s="24"/>
      <c r="D47" s="24"/>
      <c r="E47" s="24"/>
      <c r="F47" s="25"/>
      <c r="G47" s="26" t="s">
        <v>40</v>
      </c>
      <c r="H47" s="27"/>
      <c r="I47" s="27"/>
      <c r="J47" s="27"/>
      <c r="K47" s="27"/>
      <c r="L47" s="27"/>
    </row>
    <row r="48" spans="1:12" ht="25.5" x14ac:dyDescent="0.25">
      <c r="A48" s="3" t="s">
        <v>41</v>
      </c>
      <c r="B48" s="3" t="s">
        <v>42</v>
      </c>
      <c r="C48" s="3" t="s">
        <v>43</v>
      </c>
      <c r="D48" s="3" t="s">
        <v>44</v>
      </c>
      <c r="E48" s="3" t="s">
        <v>45</v>
      </c>
      <c r="F48" s="3" t="s">
        <v>46</v>
      </c>
      <c r="G48" s="3" t="s">
        <v>41</v>
      </c>
      <c r="H48" s="3" t="s">
        <v>42</v>
      </c>
      <c r="I48" s="3" t="s">
        <v>43</v>
      </c>
      <c r="J48" s="3" t="s">
        <v>44</v>
      </c>
      <c r="K48" s="3" t="s">
        <v>45</v>
      </c>
      <c r="L48" s="3" t="s">
        <v>46</v>
      </c>
    </row>
    <row r="49" spans="1:12" x14ac:dyDescent="0.25">
      <c r="A49" s="7" t="s">
        <v>115</v>
      </c>
      <c r="B49" s="6">
        <v>4327355.4979395987</v>
      </c>
      <c r="C49" s="6">
        <v>4814396.7695046896</v>
      </c>
      <c r="D49" s="6">
        <v>5795778.1817033933</v>
      </c>
      <c r="E49" s="6">
        <v>981381.41219870374</v>
      </c>
      <c r="F49" s="6"/>
      <c r="G49" s="7" t="s">
        <v>138</v>
      </c>
      <c r="H49" s="6">
        <v>11460983.040673817</v>
      </c>
      <c r="I49" s="6">
        <v>13102135.062096763</v>
      </c>
      <c r="J49" s="6">
        <v>9681156.8841252886</v>
      </c>
      <c r="K49" s="6">
        <v>-3420978.1779714748</v>
      </c>
      <c r="L49" s="6"/>
    </row>
    <row r="50" spans="1:12" x14ac:dyDescent="0.25">
      <c r="A50" s="7" t="s">
        <v>116</v>
      </c>
      <c r="B50" s="6">
        <v>797445.836913076</v>
      </c>
      <c r="C50" s="6">
        <v>912768.38732686662</v>
      </c>
      <c r="D50" s="6">
        <v>1800000</v>
      </c>
      <c r="E50" s="6">
        <v>887231.61267313338</v>
      </c>
      <c r="F50" s="6"/>
      <c r="G50" s="7" t="s">
        <v>139</v>
      </c>
      <c r="H50" s="6">
        <v>8702482.4706940874</v>
      </c>
      <c r="I50" s="6">
        <v>9728101.3569075875</v>
      </c>
      <c r="J50" s="6">
        <v>7708274.0978033766</v>
      </c>
      <c r="K50" s="6">
        <v>-2019827.2591042109</v>
      </c>
      <c r="L50" s="6"/>
    </row>
    <row r="51" spans="1:12" x14ac:dyDescent="0.25">
      <c r="A51" s="7" t="s">
        <v>117</v>
      </c>
      <c r="B51" s="6">
        <v>0</v>
      </c>
      <c r="C51" s="6">
        <v>-27085.930198643226</v>
      </c>
      <c r="D51" s="6">
        <v>775922.96025193331</v>
      </c>
      <c r="E51" s="6">
        <v>803008.89045057655</v>
      </c>
      <c r="F51" s="6"/>
      <c r="G51" s="7" t="s">
        <v>140</v>
      </c>
      <c r="H51" s="6">
        <v>5129410.8707872359</v>
      </c>
      <c r="I51" s="6">
        <v>5777980.3275695927</v>
      </c>
      <c r="J51" s="6">
        <v>4743156.765331083</v>
      </c>
      <c r="K51" s="6">
        <v>-1034823.5622385098</v>
      </c>
      <c r="L51" s="6"/>
    </row>
    <row r="52" spans="1:12" x14ac:dyDescent="0.25">
      <c r="A52" s="7" t="s">
        <v>54</v>
      </c>
      <c r="B52" s="6">
        <v>4260726.666666666</v>
      </c>
      <c r="C52" s="6">
        <v>4718660.5708834957</v>
      </c>
      <c r="D52" s="6">
        <v>5499898.3088096604</v>
      </c>
      <c r="E52" s="6">
        <v>781237.73792616464</v>
      </c>
      <c r="F52" s="6"/>
      <c r="G52" s="7" t="s">
        <v>141</v>
      </c>
      <c r="H52" s="6">
        <v>730913.47966224689</v>
      </c>
      <c r="I52" s="6">
        <v>835011.1583608347</v>
      </c>
      <c r="J52" s="6">
        <v>228782.81139788285</v>
      </c>
      <c r="K52" s="6">
        <v>-606228.34696295182</v>
      </c>
      <c r="L52" s="6"/>
    </row>
    <row r="53" spans="1:12" x14ac:dyDescent="0.25">
      <c r="A53" s="7" t="s">
        <v>47</v>
      </c>
      <c r="B53" s="6">
        <v>639095.9053195283</v>
      </c>
      <c r="C53" s="6">
        <v>669504.14399680204</v>
      </c>
      <c r="D53" s="6">
        <v>1285372.3637925107</v>
      </c>
      <c r="E53" s="6">
        <v>615868.21979570866</v>
      </c>
      <c r="F53" s="6"/>
      <c r="G53" s="7" t="s">
        <v>142</v>
      </c>
      <c r="H53" s="6">
        <v>1516277.5122606463</v>
      </c>
      <c r="I53" s="6">
        <v>1636255.2763149648</v>
      </c>
      <c r="J53" s="6">
        <v>1040867.0667738656</v>
      </c>
      <c r="K53" s="6">
        <v>-595388.20954109915</v>
      </c>
      <c r="L53" s="6"/>
    </row>
    <row r="54" spans="1:12" x14ac:dyDescent="0.25">
      <c r="A54" s="7" t="s">
        <v>118</v>
      </c>
      <c r="B54" s="6">
        <v>514489.06602276413</v>
      </c>
      <c r="C54" s="6">
        <v>522153.37270861299</v>
      </c>
      <c r="D54" s="6">
        <v>1012335.7791626183</v>
      </c>
      <c r="E54" s="6">
        <v>490182.40645400534</v>
      </c>
      <c r="F54" s="6"/>
      <c r="G54" s="7" t="s">
        <v>143</v>
      </c>
      <c r="H54" s="6">
        <v>1247779.5358773922</v>
      </c>
      <c r="I54" s="6">
        <v>1412769.1026294313</v>
      </c>
      <c r="J54" s="6">
        <v>835623.80420191085</v>
      </c>
      <c r="K54" s="6">
        <v>-577145.29842752044</v>
      </c>
      <c r="L54" s="6"/>
    </row>
    <row r="55" spans="1:12" x14ac:dyDescent="0.25">
      <c r="A55" s="7" t="s">
        <v>119</v>
      </c>
      <c r="B55" s="6">
        <v>194247.33919427323</v>
      </c>
      <c r="C55" s="6">
        <v>216776.44604992011</v>
      </c>
      <c r="D55" s="6">
        <v>697408.3055179487</v>
      </c>
      <c r="E55" s="6">
        <v>480631.85946802859</v>
      </c>
      <c r="F55" s="6"/>
      <c r="G55" s="7" t="s">
        <v>144</v>
      </c>
      <c r="H55" s="6">
        <v>461051.17532036157</v>
      </c>
      <c r="I55" s="6">
        <v>527087.36458032322</v>
      </c>
      <c r="J55" s="6">
        <v>8060</v>
      </c>
      <c r="K55" s="6">
        <v>-519027.36458032322</v>
      </c>
      <c r="L55" s="6"/>
    </row>
    <row r="56" spans="1:12" x14ac:dyDescent="0.25">
      <c r="A56" s="7" t="s">
        <v>120</v>
      </c>
      <c r="B56" s="6">
        <v>509401.31071352563</v>
      </c>
      <c r="C56" s="6">
        <v>583068.33061172476</v>
      </c>
      <c r="D56" s="6">
        <v>968616.19000000006</v>
      </c>
      <c r="E56" s="6">
        <v>385547.8593882753</v>
      </c>
      <c r="F56" s="6"/>
      <c r="G56" s="7" t="s">
        <v>145</v>
      </c>
      <c r="H56" s="6">
        <v>1780143.3623749998</v>
      </c>
      <c r="I56" s="6">
        <v>2037578.617722183</v>
      </c>
      <c r="J56" s="6">
        <v>1632500</v>
      </c>
      <c r="K56" s="6">
        <v>-405078.617722183</v>
      </c>
      <c r="L56" s="6"/>
    </row>
    <row r="57" spans="1:12" x14ac:dyDescent="0.25">
      <c r="A57" s="7" t="s">
        <v>121</v>
      </c>
      <c r="B57" s="6">
        <v>153694.6251332605</v>
      </c>
      <c r="C57" s="6">
        <v>153298.18731146073</v>
      </c>
      <c r="D57" s="6">
        <v>457979.81085866201</v>
      </c>
      <c r="E57" s="6">
        <v>304681.62354720128</v>
      </c>
      <c r="F57" s="6"/>
      <c r="G57" s="7" t="s">
        <v>146</v>
      </c>
      <c r="H57" s="6">
        <v>349728.45806982799</v>
      </c>
      <c r="I57" s="6">
        <v>384977.20030078094</v>
      </c>
      <c r="J57" s="6">
        <v>150923.0445924392</v>
      </c>
      <c r="K57" s="6">
        <v>-234054.15570834174</v>
      </c>
      <c r="L57" s="6"/>
    </row>
    <row r="58" spans="1:12" x14ac:dyDescent="0.25">
      <c r="A58" s="7" t="s">
        <v>122</v>
      </c>
      <c r="B58" s="6">
        <v>472368.90453831898</v>
      </c>
      <c r="C58" s="6">
        <v>532939.75191719714</v>
      </c>
      <c r="D58" s="6">
        <v>819125.33959550026</v>
      </c>
      <c r="E58" s="6">
        <v>286185.58767830313</v>
      </c>
      <c r="F58" s="6"/>
      <c r="G58" s="7" t="s">
        <v>147</v>
      </c>
      <c r="H58" s="6">
        <v>1683030.831605427</v>
      </c>
      <c r="I58" s="6">
        <v>1830258.1166715999</v>
      </c>
      <c r="J58" s="6">
        <v>1624809.6342124729</v>
      </c>
      <c r="K58" s="6">
        <v>-205448.48245912697</v>
      </c>
      <c r="L58" s="6"/>
    </row>
    <row r="59" spans="1:12" x14ac:dyDescent="0.25">
      <c r="A59" s="7" t="s">
        <v>86</v>
      </c>
      <c r="B59" s="6">
        <v>71714.491339564876</v>
      </c>
      <c r="C59" s="6">
        <v>74625.505050468259</v>
      </c>
      <c r="D59" s="6">
        <v>350550.69423681201</v>
      </c>
      <c r="E59" s="6">
        <v>275925.18918634375</v>
      </c>
      <c r="F59" s="6"/>
      <c r="G59" s="7" t="s">
        <v>66</v>
      </c>
      <c r="H59" s="6">
        <v>245747.71163760746</v>
      </c>
      <c r="I59" s="6">
        <v>279199.54733827524</v>
      </c>
      <c r="J59" s="6">
        <v>86605.47637182675</v>
      </c>
      <c r="K59" s="6">
        <v>-192594.07096644849</v>
      </c>
      <c r="L59" s="6"/>
    </row>
    <row r="60" spans="1:12" x14ac:dyDescent="0.25">
      <c r="A60" s="7" t="s">
        <v>48</v>
      </c>
      <c r="B60" s="6">
        <v>270427.35145896435</v>
      </c>
      <c r="C60" s="6">
        <v>287875.84021566447</v>
      </c>
      <c r="D60" s="6">
        <v>558367.9393525098</v>
      </c>
      <c r="E60" s="6">
        <v>270492.09913684533</v>
      </c>
      <c r="F60" s="6"/>
      <c r="G60" s="7" t="s">
        <v>56</v>
      </c>
      <c r="H60" s="6">
        <v>1356253.2586666667</v>
      </c>
      <c r="I60" s="6">
        <v>1530217.1643219646</v>
      </c>
      <c r="J60" s="6">
        <v>1356253.2586666667</v>
      </c>
      <c r="K60" s="6">
        <v>-173963.90565529792</v>
      </c>
      <c r="L60" s="6"/>
    </row>
    <row r="61" spans="1:12" x14ac:dyDescent="0.25">
      <c r="A61" s="7" t="s">
        <v>92</v>
      </c>
      <c r="B61" s="6">
        <v>1555432.6830472338</v>
      </c>
      <c r="C61" s="6">
        <v>1737084.9413571814</v>
      </c>
      <c r="D61" s="6">
        <v>1960053.8685353091</v>
      </c>
      <c r="E61" s="6">
        <v>222968.92717812769</v>
      </c>
      <c r="F61" s="6"/>
      <c r="G61" s="7" t="s">
        <v>148</v>
      </c>
      <c r="H61" s="6">
        <v>326417.21220523235</v>
      </c>
      <c r="I61" s="6">
        <v>372111.27713496087</v>
      </c>
      <c r="J61" s="6">
        <v>241255.00212845154</v>
      </c>
      <c r="K61" s="6">
        <v>-130856.27500650933</v>
      </c>
      <c r="L61" s="6"/>
    </row>
    <row r="62" spans="1:12" x14ac:dyDescent="0.25">
      <c r="A62" s="7" t="s">
        <v>62</v>
      </c>
      <c r="B62" s="6">
        <v>404710.73265727173</v>
      </c>
      <c r="C62" s="6">
        <v>407369.26322427538</v>
      </c>
      <c r="D62" s="6">
        <v>595108.53623252478</v>
      </c>
      <c r="E62" s="6">
        <v>187739.27300824941</v>
      </c>
      <c r="F62" s="6"/>
      <c r="G62" s="7" t="s">
        <v>149</v>
      </c>
      <c r="H62" s="6">
        <v>4170298.4682507906</v>
      </c>
      <c r="I62" s="6">
        <v>4636761.4891702887</v>
      </c>
      <c r="J62" s="6">
        <v>4552753.6884946777</v>
      </c>
      <c r="K62" s="6">
        <v>-84007.800675611012</v>
      </c>
      <c r="L62" s="6"/>
    </row>
    <row r="63" spans="1:12" x14ac:dyDescent="0.25">
      <c r="A63" s="7" t="s">
        <v>93</v>
      </c>
      <c r="B63" s="6">
        <v>339940.72783814516</v>
      </c>
      <c r="C63" s="6">
        <v>377945.48066450725</v>
      </c>
      <c r="D63" s="6">
        <v>511012.52132640081</v>
      </c>
      <c r="E63" s="6">
        <v>133067.04066189355</v>
      </c>
      <c r="F63" s="6"/>
      <c r="G63" s="7" t="s">
        <v>73</v>
      </c>
      <c r="H63" s="6">
        <v>364125.99850734009</v>
      </c>
      <c r="I63" s="6">
        <v>393386.16479800612</v>
      </c>
      <c r="J63" s="6">
        <v>309863.38601039804</v>
      </c>
      <c r="K63" s="6">
        <v>-83522.778787608084</v>
      </c>
      <c r="L63" s="6"/>
    </row>
    <row r="64" spans="1:12" x14ac:dyDescent="0.25">
      <c r="A64" s="7" t="s">
        <v>123</v>
      </c>
      <c r="B64" s="6">
        <v>248991.26516950878</v>
      </c>
      <c r="C64" s="6">
        <v>284839.45648613607</v>
      </c>
      <c r="D64" s="6">
        <v>409689.02649410296</v>
      </c>
      <c r="E64" s="6">
        <v>124849.57000796689</v>
      </c>
      <c r="F64" s="6"/>
      <c r="G64" s="7" t="s">
        <v>150</v>
      </c>
      <c r="H64" s="6">
        <v>103865.05293280774</v>
      </c>
      <c r="I64" s="6">
        <v>117605.6943389552</v>
      </c>
      <c r="J64" s="6">
        <v>42940.939999999995</v>
      </c>
      <c r="K64" s="6">
        <v>-74664.754338955216</v>
      </c>
      <c r="L64" s="6"/>
    </row>
    <row r="65" spans="1:12" x14ac:dyDescent="0.25">
      <c r="A65" s="7" t="s">
        <v>113</v>
      </c>
      <c r="B65" s="6">
        <v>78288.283648103839</v>
      </c>
      <c r="C65" s="6">
        <v>83326.292577807355</v>
      </c>
      <c r="D65" s="6">
        <v>198245.89646571456</v>
      </c>
      <c r="E65" s="6">
        <v>114919.6038879072</v>
      </c>
      <c r="F65" s="6"/>
      <c r="G65" s="7" t="s">
        <v>109</v>
      </c>
      <c r="H65" s="6">
        <v>87203.367358169839</v>
      </c>
      <c r="I65" s="6">
        <v>97140.158018166025</v>
      </c>
      <c r="J65" s="6">
        <v>37343.217072391781</v>
      </c>
      <c r="K65" s="6">
        <v>-59796.940945774244</v>
      </c>
      <c r="L65" s="6"/>
    </row>
    <row r="66" spans="1:12" x14ac:dyDescent="0.25">
      <c r="A66" s="7" t="s">
        <v>124</v>
      </c>
      <c r="B66" s="6">
        <v>492196.70387288631</v>
      </c>
      <c r="C66" s="6">
        <v>563309.16863682994</v>
      </c>
      <c r="D66" s="6">
        <v>663509.87494222308</v>
      </c>
      <c r="E66" s="6">
        <v>100200.70630539313</v>
      </c>
      <c r="F66" s="6"/>
      <c r="G66" s="7" t="s">
        <v>151</v>
      </c>
      <c r="H66" s="6">
        <v>45505.660926334334</v>
      </c>
      <c r="I66" s="6">
        <v>51723.134801760752</v>
      </c>
      <c r="J66" s="6">
        <v>4353.6565443785094</v>
      </c>
      <c r="K66" s="6">
        <v>-47369.478257382245</v>
      </c>
      <c r="L66" s="6"/>
    </row>
    <row r="67" spans="1:12" x14ac:dyDescent="0.25">
      <c r="A67" s="7" t="s">
        <v>125</v>
      </c>
      <c r="B67" s="6">
        <v>5080609.4578036424</v>
      </c>
      <c r="C67" s="6">
        <v>5162920.4666255955</v>
      </c>
      <c r="D67" s="6">
        <v>5242574.9140386255</v>
      </c>
      <c r="E67" s="6">
        <v>79654.44741303008</v>
      </c>
      <c r="F67" s="6"/>
      <c r="G67" s="7" t="s">
        <v>152</v>
      </c>
      <c r="H67" s="6">
        <v>50521.256554233812</v>
      </c>
      <c r="I67" s="6">
        <v>57733.173325330696</v>
      </c>
      <c r="J67" s="6">
        <v>15864.785431717708</v>
      </c>
      <c r="K67" s="6">
        <v>-41868.387893612991</v>
      </c>
      <c r="L67" s="6"/>
    </row>
    <row r="68" spans="1:12" x14ac:dyDescent="0.25">
      <c r="A68" s="7" t="s">
        <v>63</v>
      </c>
      <c r="B68" s="6">
        <v>952655.42276622774</v>
      </c>
      <c r="C68" s="6">
        <v>1062466.6972177313</v>
      </c>
      <c r="D68" s="6">
        <v>1133988.6599999999</v>
      </c>
      <c r="E68" s="6">
        <v>71521.962782268645</v>
      </c>
      <c r="F68" s="6"/>
      <c r="G68" s="7" t="s">
        <v>94</v>
      </c>
      <c r="H68" s="6">
        <v>32555.423241864402</v>
      </c>
      <c r="I68" s="6">
        <v>37131.624961338755</v>
      </c>
      <c r="J68" s="6">
        <v>1200</v>
      </c>
      <c r="K68" s="6">
        <v>-35931.624961338755</v>
      </c>
      <c r="L68" s="6"/>
    </row>
    <row r="69" spans="1:12" x14ac:dyDescent="0.25">
      <c r="A69" s="7" t="s">
        <v>126</v>
      </c>
      <c r="B69" s="6">
        <v>715381.34361504088</v>
      </c>
      <c r="C69" s="6">
        <v>817221.69486005895</v>
      </c>
      <c r="D69" s="6">
        <v>869748.03264065622</v>
      </c>
      <c r="E69" s="6">
        <v>52526.33778059727</v>
      </c>
      <c r="F69" s="6"/>
      <c r="G69" s="7" t="s">
        <v>87</v>
      </c>
      <c r="H69" s="6">
        <v>56250</v>
      </c>
      <c r="I69" s="6">
        <v>60492.234442635265</v>
      </c>
      <c r="J69" s="6">
        <v>30600</v>
      </c>
      <c r="K69" s="6">
        <v>-29892.234442635265</v>
      </c>
      <c r="L69" s="6"/>
    </row>
    <row r="70" spans="1:12" x14ac:dyDescent="0.25">
      <c r="A70" s="7" t="s">
        <v>83</v>
      </c>
      <c r="B70" s="6">
        <v>384350.39999999997</v>
      </c>
      <c r="C70" s="6">
        <v>429149.58670108992</v>
      </c>
      <c r="D70" s="6">
        <v>462522.75747337012</v>
      </c>
      <c r="E70" s="6">
        <v>33373.170772280195</v>
      </c>
      <c r="F70" s="6"/>
      <c r="G70" s="7" t="s">
        <v>153</v>
      </c>
      <c r="H70" s="6">
        <v>25419.808948758917</v>
      </c>
      <c r="I70" s="6">
        <v>29095.892092348906</v>
      </c>
      <c r="J70" s="6">
        <v>0</v>
      </c>
      <c r="K70" s="6">
        <v>-29095.892092348906</v>
      </c>
      <c r="L70" s="6"/>
    </row>
    <row r="71" spans="1:12" x14ac:dyDescent="0.25">
      <c r="A71" s="7" t="s">
        <v>127</v>
      </c>
      <c r="B71" s="6">
        <v>98962.277500341967</v>
      </c>
      <c r="C71" s="6">
        <v>110203.15651159704</v>
      </c>
      <c r="D71" s="6">
        <v>140671.70682449441</v>
      </c>
      <c r="E71" s="6">
        <v>30468.550312897365</v>
      </c>
      <c r="F71" s="6"/>
      <c r="G71" s="7" t="s">
        <v>154</v>
      </c>
      <c r="H71" s="6">
        <v>399924.33920284372</v>
      </c>
      <c r="I71" s="6">
        <v>457752.21285585349</v>
      </c>
      <c r="J71" s="6">
        <v>430498.48157113488</v>
      </c>
      <c r="K71" s="6">
        <v>-27253.731284718611</v>
      </c>
      <c r="L71" s="6"/>
    </row>
    <row r="72" spans="1:12" x14ac:dyDescent="0.25">
      <c r="A72" s="7" t="s">
        <v>90</v>
      </c>
      <c r="B72" s="6">
        <v>146473.52704322265</v>
      </c>
      <c r="C72" s="6">
        <v>161040.80848390592</v>
      </c>
      <c r="D72" s="6">
        <v>187113.32394959644</v>
      </c>
      <c r="E72" s="6">
        <v>26072.515465690522</v>
      </c>
      <c r="F72" s="6"/>
      <c r="G72" s="7" t="s">
        <v>69</v>
      </c>
      <c r="H72" s="6">
        <v>646993.3192366705</v>
      </c>
      <c r="I72" s="6">
        <v>711571.50131016294</v>
      </c>
      <c r="J72" s="6">
        <v>694600.96659650141</v>
      </c>
      <c r="K72" s="6">
        <v>-16970.534713661531</v>
      </c>
      <c r="L72" s="6"/>
    </row>
    <row r="73" spans="1:12" x14ac:dyDescent="0.25">
      <c r="A73" s="7" t="s">
        <v>128</v>
      </c>
      <c r="B73" s="6">
        <v>285587.33341257094</v>
      </c>
      <c r="C73" s="6">
        <v>326379.51034444303</v>
      </c>
      <c r="D73" s="6">
        <v>351785.28880022874</v>
      </c>
      <c r="E73" s="6">
        <v>25405.778455785709</v>
      </c>
      <c r="F73" s="6"/>
      <c r="G73" s="7" t="s">
        <v>50</v>
      </c>
      <c r="H73" s="6">
        <v>18301.608894030007</v>
      </c>
      <c r="I73" s="6">
        <v>20460.42314218016</v>
      </c>
      <c r="J73" s="6">
        <v>3853.34</v>
      </c>
      <c r="K73" s="6">
        <v>-16607.083142180159</v>
      </c>
      <c r="L73" s="6"/>
    </row>
    <row r="74" spans="1:12" x14ac:dyDescent="0.25">
      <c r="A74" s="7" t="s">
        <v>129</v>
      </c>
      <c r="B74" s="6">
        <v>493786.91617802111</v>
      </c>
      <c r="C74" s="6">
        <v>559152.46152171248</v>
      </c>
      <c r="D74" s="6">
        <v>584401.44636293501</v>
      </c>
      <c r="E74" s="6">
        <v>25248.984841222526</v>
      </c>
      <c r="F74" s="6"/>
      <c r="G74" s="7" t="s">
        <v>155</v>
      </c>
      <c r="H74" s="6">
        <v>1298656.6721555837</v>
      </c>
      <c r="I74" s="6">
        <v>1486423.8538815191</v>
      </c>
      <c r="J74" s="6">
        <v>1472924.074881519</v>
      </c>
      <c r="K74" s="6">
        <v>-13499.779000000097</v>
      </c>
      <c r="L74" s="6"/>
    </row>
    <row r="75" spans="1:12" x14ac:dyDescent="0.25">
      <c r="A75" s="7" t="s">
        <v>91</v>
      </c>
      <c r="B75" s="6">
        <v>326619.51082634681</v>
      </c>
      <c r="C75" s="6">
        <v>360701.22684730164</v>
      </c>
      <c r="D75" s="6">
        <v>384985.9544850575</v>
      </c>
      <c r="E75" s="6">
        <v>24284.727637755859</v>
      </c>
      <c r="F75" s="6"/>
      <c r="G75" s="7" t="s">
        <v>156</v>
      </c>
      <c r="H75" s="6">
        <v>15471.301950000001</v>
      </c>
      <c r="I75" s="6">
        <v>17562.79656023618</v>
      </c>
      <c r="J75" s="6">
        <v>4610.7178968655207</v>
      </c>
      <c r="K75" s="6">
        <v>-12952.078663370659</v>
      </c>
      <c r="L75" s="6"/>
    </row>
    <row r="76" spans="1:12" x14ac:dyDescent="0.25">
      <c r="A76" s="7" t="s">
        <v>130</v>
      </c>
      <c r="B76" s="6">
        <v>30926.768740559703</v>
      </c>
      <c r="C76" s="6">
        <v>35248.821045223311</v>
      </c>
      <c r="D76" s="6">
        <v>59525.224469107197</v>
      </c>
      <c r="E76" s="6">
        <v>24276.403423883887</v>
      </c>
      <c r="F76" s="6"/>
      <c r="G76" s="7" t="s">
        <v>157</v>
      </c>
      <c r="H76" s="6">
        <v>189056.04354582552</v>
      </c>
      <c r="I76" s="6">
        <v>216396.3644850415</v>
      </c>
      <c r="J76" s="6">
        <v>208671.10178414278</v>
      </c>
      <c r="K76" s="6">
        <v>-7725.2627008987183</v>
      </c>
      <c r="L76" s="6"/>
    </row>
    <row r="77" spans="1:12" x14ac:dyDescent="0.25">
      <c r="A77" s="7" t="s">
        <v>70</v>
      </c>
      <c r="B77" s="6">
        <v>220000</v>
      </c>
      <c r="C77" s="6">
        <v>249576.20740941635</v>
      </c>
      <c r="D77" s="6">
        <v>269621.5</v>
      </c>
      <c r="E77" s="6">
        <v>20045.292590583646</v>
      </c>
      <c r="F77" s="6"/>
      <c r="G77" s="7" t="s">
        <v>158</v>
      </c>
      <c r="H77" s="6">
        <v>83920.77137139345</v>
      </c>
      <c r="I77" s="6">
        <v>95393.121214618819</v>
      </c>
      <c r="J77" s="6">
        <v>90004.911026515518</v>
      </c>
      <c r="K77" s="6">
        <v>-5388.2101881033013</v>
      </c>
      <c r="L77" s="6"/>
    </row>
    <row r="78" spans="1:12" x14ac:dyDescent="0.25">
      <c r="A78" s="7" t="s">
        <v>131</v>
      </c>
      <c r="B78" s="6">
        <v>115005</v>
      </c>
      <c r="C78" s="6">
        <v>131506.83254360076</v>
      </c>
      <c r="D78" s="6">
        <v>144706.83254360076</v>
      </c>
      <c r="E78" s="6">
        <v>13200</v>
      </c>
      <c r="F78" s="6"/>
      <c r="G78" s="7" t="s">
        <v>159</v>
      </c>
      <c r="H78" s="6">
        <v>84990.466635238263</v>
      </c>
      <c r="I78" s="6">
        <v>97264.50436260704</v>
      </c>
      <c r="J78" s="6">
        <v>94447.808976501517</v>
      </c>
      <c r="K78" s="6">
        <v>-2816.6953861055226</v>
      </c>
      <c r="L78" s="6"/>
    </row>
    <row r="79" spans="1:12" x14ac:dyDescent="0.25">
      <c r="A79" s="7" t="s">
        <v>78</v>
      </c>
      <c r="B79" s="6">
        <v>86554.210777339787</v>
      </c>
      <c r="C79" s="6">
        <v>97596.467571514877</v>
      </c>
      <c r="D79" s="6">
        <v>107177.52006919496</v>
      </c>
      <c r="E79" s="6">
        <v>9581.0524976800807</v>
      </c>
      <c r="F79" s="6"/>
      <c r="G79" s="7" t="s">
        <v>160</v>
      </c>
      <c r="H79" s="6">
        <v>25046.167640353819</v>
      </c>
      <c r="I79" s="6">
        <v>28668.216683280607</v>
      </c>
      <c r="J79" s="6">
        <v>26253.355223815463</v>
      </c>
      <c r="K79" s="6">
        <v>-2414.8614594651444</v>
      </c>
      <c r="L79" s="6"/>
    </row>
    <row r="80" spans="1:12" x14ac:dyDescent="0.25">
      <c r="A80" s="7" t="s">
        <v>77</v>
      </c>
      <c r="B80" s="6">
        <v>64318.744573215226</v>
      </c>
      <c r="C80" s="6">
        <v>68787.881568741985</v>
      </c>
      <c r="D80" s="6">
        <v>72869.799673729009</v>
      </c>
      <c r="E80" s="6">
        <v>4081.918104987024</v>
      </c>
      <c r="F80" s="6"/>
      <c r="G80" s="7" t="s">
        <v>64</v>
      </c>
      <c r="H80" s="6">
        <v>14286.441767025146</v>
      </c>
      <c r="I80" s="6">
        <v>14976.275992466501</v>
      </c>
      <c r="J80" s="6">
        <v>12871.648952613014</v>
      </c>
      <c r="K80" s="6">
        <v>-2104.6270398534871</v>
      </c>
      <c r="L80" s="6"/>
    </row>
    <row r="81" spans="1:12" x14ac:dyDescent="0.25">
      <c r="A81" s="7" t="s">
        <v>132</v>
      </c>
      <c r="B81" s="6">
        <v>2301304.96</v>
      </c>
      <c r="C81" s="6">
        <v>2525663.1709828777</v>
      </c>
      <c r="D81" s="6">
        <v>2528569.2555009695</v>
      </c>
      <c r="E81" s="6">
        <v>2906.0845180917531</v>
      </c>
      <c r="F81" s="6"/>
      <c r="G81" s="7" t="s">
        <v>161</v>
      </c>
      <c r="H81" s="6">
        <v>77204.827165086564</v>
      </c>
      <c r="I81" s="6">
        <v>88369.795568958405</v>
      </c>
      <c r="J81" s="6">
        <v>87539.119490610203</v>
      </c>
      <c r="K81" s="6">
        <v>-830.67607834820228</v>
      </c>
      <c r="L81" s="6"/>
    </row>
    <row r="82" spans="1:12" x14ac:dyDescent="0.25">
      <c r="A82" s="7" t="s">
        <v>133</v>
      </c>
      <c r="B82" s="6">
        <v>1893.3733607543079</v>
      </c>
      <c r="C82" s="6">
        <v>2105.194998433607</v>
      </c>
      <c r="D82" s="6">
        <v>3906.0035654477156</v>
      </c>
      <c r="E82" s="6">
        <v>1800.8085670141086</v>
      </c>
      <c r="F82" s="6"/>
      <c r="G82" s="7" t="s">
        <v>162</v>
      </c>
      <c r="H82" s="6">
        <v>6384.1881129145695</v>
      </c>
      <c r="I82" s="6">
        <v>7307.4368420730443</v>
      </c>
      <c r="J82" s="6">
        <v>6694.5122957544199</v>
      </c>
      <c r="K82" s="6">
        <v>-612.92454631862438</v>
      </c>
      <c r="L82" s="6"/>
    </row>
    <row r="83" spans="1:12" x14ac:dyDescent="0.25">
      <c r="A83" s="7" t="s">
        <v>134</v>
      </c>
      <c r="B83" s="6">
        <v>17527.227682411303</v>
      </c>
      <c r="C83" s="6">
        <v>19945.45070988583</v>
      </c>
      <c r="D83" s="6">
        <v>21370.470938972405</v>
      </c>
      <c r="E83" s="6">
        <v>1425.0202290865745</v>
      </c>
      <c r="F83" s="6"/>
      <c r="G83" s="7" t="s">
        <v>163</v>
      </c>
      <c r="H83" s="6">
        <v>54096.121120650452</v>
      </c>
      <c r="I83" s="6">
        <v>61919.226297644098</v>
      </c>
      <c r="J83" s="6">
        <v>61919.226297644098</v>
      </c>
      <c r="K83" s="6">
        <v>0</v>
      </c>
      <c r="L83" s="6"/>
    </row>
    <row r="84" spans="1:12" x14ac:dyDescent="0.25">
      <c r="A84" t="s">
        <v>135</v>
      </c>
      <c r="B84">
        <v>0</v>
      </c>
      <c r="C84">
        <v>-2.1453826972169736</v>
      </c>
      <c r="D84">
        <v>462</v>
      </c>
      <c r="E84">
        <v>464.14538269721697</v>
      </c>
      <c r="G84" t="s">
        <v>164</v>
      </c>
      <c r="H84">
        <v>980795.01574488427</v>
      </c>
      <c r="I84">
        <v>1122632.5894247168</v>
      </c>
      <c r="J84">
        <v>1122632.5894247168</v>
      </c>
      <c r="K84">
        <v>0</v>
      </c>
    </row>
    <row r="85" spans="1:12" x14ac:dyDescent="0.25">
      <c r="A85" t="s">
        <v>136</v>
      </c>
      <c r="B85">
        <v>43928.927547752341</v>
      </c>
      <c r="C85">
        <v>50281.705037142689</v>
      </c>
      <c r="D85">
        <v>50412.624175846628</v>
      </c>
      <c r="E85">
        <v>130.9191387039391</v>
      </c>
      <c r="G85" t="s">
        <v>165</v>
      </c>
      <c r="H85">
        <v>0</v>
      </c>
      <c r="I85">
        <v>0</v>
      </c>
      <c r="J85">
        <v>0</v>
      </c>
      <c r="K85">
        <v>0</v>
      </c>
    </row>
    <row r="86" spans="1:12" x14ac:dyDescent="0.25">
      <c r="A86" t="s">
        <v>137</v>
      </c>
      <c r="B86" t="s">
        <v>137</v>
      </c>
      <c r="C86" t="s">
        <v>137</v>
      </c>
      <c r="D86" t="s">
        <v>137</v>
      </c>
      <c r="E86" t="s">
        <v>137</v>
      </c>
      <c r="G86" t="s">
        <v>166</v>
      </c>
      <c r="H86">
        <v>0</v>
      </c>
      <c r="I86">
        <v>0</v>
      </c>
      <c r="J86">
        <v>0</v>
      </c>
      <c r="K86">
        <v>0</v>
      </c>
    </row>
    <row r="87" spans="1:12" x14ac:dyDescent="0.25">
      <c r="A87" t="s">
        <v>137</v>
      </c>
      <c r="B87" t="s">
        <v>137</v>
      </c>
      <c r="C87" t="s">
        <v>137</v>
      </c>
      <c r="D87" t="s">
        <v>137</v>
      </c>
      <c r="E87" t="s">
        <v>137</v>
      </c>
      <c r="G87" t="s">
        <v>167</v>
      </c>
      <c r="H87">
        <v>0</v>
      </c>
      <c r="I87">
        <v>0</v>
      </c>
      <c r="J87">
        <v>0</v>
      </c>
      <c r="K87">
        <v>0</v>
      </c>
    </row>
    <row r="88" spans="1:12" x14ac:dyDescent="0.25">
      <c r="A88" t="s">
        <v>137</v>
      </c>
      <c r="B88" t="s">
        <v>137</v>
      </c>
      <c r="C88" t="s">
        <v>137</v>
      </c>
      <c r="D88" t="s">
        <v>137</v>
      </c>
      <c r="E88" t="s">
        <v>137</v>
      </c>
      <c r="G88" t="s">
        <v>168</v>
      </c>
      <c r="H88">
        <v>0</v>
      </c>
      <c r="I88">
        <v>0</v>
      </c>
      <c r="J88">
        <v>0</v>
      </c>
      <c r="K88">
        <v>0</v>
      </c>
    </row>
    <row r="89" spans="1:12" x14ac:dyDescent="0.25">
      <c r="A89" t="s">
        <v>137</v>
      </c>
      <c r="B89" t="s">
        <v>137</v>
      </c>
      <c r="C89" t="s">
        <v>137</v>
      </c>
      <c r="D89" t="s">
        <v>137</v>
      </c>
      <c r="E89" t="s">
        <v>137</v>
      </c>
      <c r="G89" t="s">
        <v>169</v>
      </c>
      <c r="H89">
        <v>0</v>
      </c>
      <c r="I89">
        <v>0</v>
      </c>
      <c r="J89">
        <v>0</v>
      </c>
      <c r="K89">
        <v>0</v>
      </c>
    </row>
    <row r="90" spans="1:12" x14ac:dyDescent="0.25">
      <c r="A90" t="s">
        <v>137</v>
      </c>
      <c r="B90" t="s">
        <v>137</v>
      </c>
      <c r="C90" t="s">
        <v>137</v>
      </c>
      <c r="D90" t="s">
        <v>137</v>
      </c>
      <c r="E90" t="s">
        <v>137</v>
      </c>
      <c r="G90" t="s">
        <v>170</v>
      </c>
      <c r="H90">
        <v>123847.45949354384</v>
      </c>
      <c r="I90">
        <v>141757.64753383942</v>
      </c>
      <c r="J90">
        <v>141757.64753383942</v>
      </c>
      <c r="K90">
        <v>0</v>
      </c>
    </row>
    <row r="91" spans="1:12" x14ac:dyDescent="0.25">
      <c r="A91" t="s">
        <v>137</v>
      </c>
      <c r="B91" t="s">
        <v>137</v>
      </c>
      <c r="C91" t="s">
        <v>137</v>
      </c>
      <c r="D91" t="s">
        <v>137</v>
      </c>
      <c r="E91" t="s">
        <v>137</v>
      </c>
      <c r="G91" t="s">
        <v>171</v>
      </c>
      <c r="H91">
        <v>69662.657999999996</v>
      </c>
      <c r="I91">
        <v>79736.9163599936</v>
      </c>
      <c r="J91">
        <v>79736.9163599936</v>
      </c>
      <c r="K91">
        <v>0</v>
      </c>
    </row>
    <row r="92" spans="1:12" x14ac:dyDescent="0.25">
      <c r="A92" t="s">
        <v>137</v>
      </c>
      <c r="B92" t="s">
        <v>137</v>
      </c>
      <c r="C92" t="s">
        <v>137</v>
      </c>
      <c r="D92" t="s">
        <v>137</v>
      </c>
      <c r="E92" t="s">
        <v>137</v>
      </c>
      <c r="G92" t="s">
        <v>172</v>
      </c>
      <c r="H92">
        <v>0</v>
      </c>
      <c r="I92">
        <v>0</v>
      </c>
      <c r="J92">
        <v>0</v>
      </c>
      <c r="K92">
        <v>0</v>
      </c>
    </row>
    <row r="93" spans="1:12" x14ac:dyDescent="0.25">
      <c r="A93" t="s">
        <v>137</v>
      </c>
      <c r="B93" t="s">
        <v>137</v>
      </c>
      <c r="C93" t="s">
        <v>137</v>
      </c>
      <c r="D93" t="s">
        <v>137</v>
      </c>
      <c r="E93" t="s">
        <v>137</v>
      </c>
      <c r="G93" t="s">
        <v>173</v>
      </c>
      <c r="H93">
        <v>0</v>
      </c>
      <c r="I93">
        <v>0</v>
      </c>
      <c r="J93">
        <v>0</v>
      </c>
      <c r="K93">
        <v>0</v>
      </c>
    </row>
    <row r="94" spans="1:12" x14ac:dyDescent="0.25">
      <c r="A94" t="s">
        <v>137</v>
      </c>
      <c r="B94" t="s">
        <v>137</v>
      </c>
      <c r="C94" t="s">
        <v>137</v>
      </c>
      <c r="D94" t="s">
        <v>137</v>
      </c>
      <c r="E94" t="s">
        <v>137</v>
      </c>
      <c r="G94" t="s">
        <v>174</v>
      </c>
      <c r="H94">
        <v>0</v>
      </c>
      <c r="I94">
        <v>0</v>
      </c>
      <c r="J94">
        <v>0</v>
      </c>
      <c r="K94">
        <v>0</v>
      </c>
    </row>
    <row r="95" spans="1:12" x14ac:dyDescent="0.25">
      <c r="A95" t="s">
        <v>137</v>
      </c>
      <c r="B95" t="s">
        <v>137</v>
      </c>
      <c r="C95" t="s">
        <v>137</v>
      </c>
      <c r="D95" t="s">
        <v>137</v>
      </c>
      <c r="E95" t="s">
        <v>137</v>
      </c>
      <c r="G95" t="s">
        <v>175</v>
      </c>
      <c r="H95">
        <v>0</v>
      </c>
      <c r="I95">
        <v>0</v>
      </c>
      <c r="J95">
        <v>0</v>
      </c>
      <c r="K95">
        <v>0</v>
      </c>
    </row>
    <row r="96" spans="1:12" x14ac:dyDescent="0.25">
      <c r="A96" t="s">
        <v>137</v>
      </c>
      <c r="B96" t="s">
        <v>137</v>
      </c>
      <c r="C96" t="s">
        <v>137</v>
      </c>
      <c r="D96" t="s">
        <v>137</v>
      </c>
      <c r="E96" t="s">
        <v>137</v>
      </c>
      <c r="G96" t="s">
        <v>176</v>
      </c>
      <c r="H96">
        <v>58875.029739471531</v>
      </c>
      <c r="I96">
        <v>67389.236311201006</v>
      </c>
      <c r="J96">
        <v>67389.236311201006</v>
      </c>
      <c r="K96">
        <v>0</v>
      </c>
    </row>
    <row r="97" spans="1:11" x14ac:dyDescent="0.25">
      <c r="A97" t="s">
        <v>137</v>
      </c>
      <c r="B97" t="s">
        <v>137</v>
      </c>
      <c r="C97" t="s">
        <v>137</v>
      </c>
      <c r="D97" t="s">
        <v>137</v>
      </c>
      <c r="E97" t="s">
        <v>137</v>
      </c>
      <c r="G97" t="s">
        <v>177</v>
      </c>
      <c r="H97">
        <v>0</v>
      </c>
      <c r="I97">
        <v>0</v>
      </c>
      <c r="J97">
        <v>0</v>
      </c>
      <c r="K97">
        <v>0</v>
      </c>
    </row>
    <row r="98" spans="1:11" x14ac:dyDescent="0.25">
      <c r="A98" t="s">
        <v>137</v>
      </c>
      <c r="B98" t="s">
        <v>137</v>
      </c>
      <c r="C98" t="s">
        <v>137</v>
      </c>
      <c r="D98" t="s">
        <v>137</v>
      </c>
      <c r="E98" t="s">
        <v>137</v>
      </c>
      <c r="G98" t="s">
        <v>178</v>
      </c>
      <c r="H98">
        <v>0</v>
      </c>
      <c r="I98">
        <v>0</v>
      </c>
      <c r="J98">
        <v>0</v>
      </c>
      <c r="K98">
        <v>0</v>
      </c>
    </row>
    <row r="99" spans="1:11" x14ac:dyDescent="0.25">
      <c r="A99" t="s">
        <v>137</v>
      </c>
      <c r="B99" t="s">
        <v>137</v>
      </c>
      <c r="C99" t="s">
        <v>137</v>
      </c>
      <c r="D99" t="s">
        <v>137</v>
      </c>
      <c r="E99" t="s">
        <v>137</v>
      </c>
      <c r="G99" t="s">
        <v>179</v>
      </c>
      <c r="H99">
        <v>25000</v>
      </c>
      <c r="I99">
        <v>28615.372514207549</v>
      </c>
      <c r="J99">
        <v>28615.372514207549</v>
      </c>
      <c r="K99">
        <v>0</v>
      </c>
    </row>
    <row r="100" spans="1:11" x14ac:dyDescent="0.25">
      <c r="A100" t="s">
        <v>137</v>
      </c>
      <c r="B100" t="s">
        <v>137</v>
      </c>
      <c r="C100" t="s">
        <v>137</v>
      </c>
      <c r="D100" t="s">
        <v>137</v>
      </c>
      <c r="E100" t="s">
        <v>137</v>
      </c>
      <c r="G100" t="s">
        <v>180</v>
      </c>
      <c r="H100">
        <v>127129.82841599704</v>
      </c>
      <c r="I100">
        <v>145514.69591164173</v>
      </c>
      <c r="J100">
        <v>145514.69591164173</v>
      </c>
      <c r="K100">
        <v>0</v>
      </c>
    </row>
    <row r="101" spans="1:11" x14ac:dyDescent="0.25">
      <c r="A101" t="s">
        <v>137</v>
      </c>
      <c r="B101" t="s">
        <v>137</v>
      </c>
      <c r="C101" t="s">
        <v>137</v>
      </c>
      <c r="D101" t="s">
        <v>137</v>
      </c>
      <c r="E101" t="s">
        <v>137</v>
      </c>
      <c r="G101" t="s">
        <v>181</v>
      </c>
      <c r="H101">
        <v>57012.176711398999</v>
      </c>
      <c r="I101">
        <v>65256.986977700428</v>
      </c>
      <c r="J101">
        <v>65256.986977700428</v>
      </c>
      <c r="K101">
        <v>0</v>
      </c>
    </row>
    <row r="102" spans="1:11" x14ac:dyDescent="0.25">
      <c r="A102" t="s">
        <v>137</v>
      </c>
      <c r="B102" t="s">
        <v>137</v>
      </c>
      <c r="C102" t="s">
        <v>137</v>
      </c>
      <c r="D102" t="s">
        <v>137</v>
      </c>
      <c r="E102" t="s">
        <v>137</v>
      </c>
      <c r="G102" t="s">
        <v>182</v>
      </c>
      <c r="H102">
        <v>54096.381735837364</v>
      </c>
      <c r="I102">
        <v>61919.524601670368</v>
      </c>
      <c r="J102">
        <v>61919.524601670368</v>
      </c>
      <c r="K102">
        <v>0</v>
      </c>
    </row>
    <row r="103" spans="1:11" x14ac:dyDescent="0.25">
      <c r="A103" t="s">
        <v>137</v>
      </c>
      <c r="B103" t="s">
        <v>137</v>
      </c>
      <c r="C103" t="s">
        <v>137</v>
      </c>
      <c r="D103" t="s">
        <v>137</v>
      </c>
      <c r="E103" t="s">
        <v>137</v>
      </c>
      <c r="G103" t="s">
        <v>183</v>
      </c>
      <c r="H103">
        <v>15043.470851028096</v>
      </c>
      <c r="I103">
        <v>17218.980892351658</v>
      </c>
      <c r="J103">
        <v>17218.980892351658</v>
      </c>
      <c r="K103">
        <v>0</v>
      </c>
    </row>
    <row r="104" spans="1:11" x14ac:dyDescent="0.25">
      <c r="A104" t="s">
        <v>137</v>
      </c>
      <c r="B104" t="s">
        <v>137</v>
      </c>
      <c r="C104" t="s">
        <v>137</v>
      </c>
      <c r="D104" t="s">
        <v>137</v>
      </c>
      <c r="E104" t="s">
        <v>137</v>
      </c>
      <c r="G104" t="s">
        <v>184</v>
      </c>
      <c r="H104">
        <v>27961.054719062617</v>
      </c>
      <c r="I104">
        <v>32004.639867044712</v>
      </c>
      <c r="J104">
        <v>32004.639867044712</v>
      </c>
      <c r="K104">
        <v>0</v>
      </c>
    </row>
    <row r="105" spans="1:11" x14ac:dyDescent="0.25">
      <c r="A105" t="s">
        <v>137</v>
      </c>
      <c r="B105" t="s">
        <v>137</v>
      </c>
      <c r="C105" t="s">
        <v>137</v>
      </c>
      <c r="D105" t="s">
        <v>137</v>
      </c>
      <c r="E105" t="s">
        <v>137</v>
      </c>
      <c r="G105" t="s">
        <v>185</v>
      </c>
      <c r="H105">
        <v>214812.12965712079</v>
      </c>
      <c r="I105">
        <v>245877.16442835052</v>
      </c>
      <c r="J105">
        <v>245877.16442835052</v>
      </c>
      <c r="K105">
        <v>0</v>
      </c>
    </row>
    <row r="106" spans="1:11" x14ac:dyDescent="0.25">
      <c r="A106" t="s">
        <v>137</v>
      </c>
      <c r="B106" t="s">
        <v>137</v>
      </c>
      <c r="C106" t="s">
        <v>137</v>
      </c>
      <c r="D106" t="s">
        <v>137</v>
      </c>
      <c r="E106" t="s">
        <v>137</v>
      </c>
      <c r="G106" t="s">
        <v>186</v>
      </c>
      <c r="H106">
        <v>3270.0051670744656</v>
      </c>
      <c r="I106">
        <v>3742.8966391687727</v>
      </c>
      <c r="J106">
        <v>3742.8966391687727</v>
      </c>
      <c r="K106">
        <v>0</v>
      </c>
    </row>
    <row r="107" spans="1:11" x14ac:dyDescent="0.25">
      <c r="A107" t="s">
        <v>137</v>
      </c>
      <c r="B107" t="s">
        <v>137</v>
      </c>
      <c r="C107" t="s">
        <v>137</v>
      </c>
      <c r="D107" t="s">
        <v>137</v>
      </c>
      <c r="E107" t="s">
        <v>137</v>
      </c>
      <c r="G107" t="s">
        <v>187</v>
      </c>
      <c r="H107">
        <v>0</v>
      </c>
      <c r="I107">
        <v>0</v>
      </c>
      <c r="J107">
        <v>0</v>
      </c>
      <c r="K107">
        <v>0</v>
      </c>
    </row>
    <row r="108" spans="1:11" x14ac:dyDescent="0.25">
      <c r="A108" t="s">
        <v>137</v>
      </c>
      <c r="B108" t="s">
        <v>137</v>
      </c>
      <c r="C108" t="s">
        <v>137</v>
      </c>
      <c r="D108" t="s">
        <v>137</v>
      </c>
      <c r="E108" t="s">
        <v>137</v>
      </c>
      <c r="G108" t="s">
        <v>188</v>
      </c>
      <c r="H108">
        <v>116693.03653355615</v>
      </c>
      <c r="I108">
        <v>133568.58840886957</v>
      </c>
      <c r="J108">
        <v>133568.58840886957</v>
      </c>
      <c r="K108">
        <v>0</v>
      </c>
    </row>
    <row r="109" spans="1:11" x14ac:dyDescent="0.25">
      <c r="A109" t="s">
        <v>137</v>
      </c>
      <c r="B109" t="s">
        <v>137</v>
      </c>
      <c r="C109" t="s">
        <v>137</v>
      </c>
      <c r="D109" t="s">
        <v>137</v>
      </c>
      <c r="E109" t="s">
        <v>137</v>
      </c>
      <c r="G109" t="s">
        <v>189</v>
      </c>
      <c r="H109">
        <v>32194.031437548099</v>
      </c>
      <c r="I109">
        <v>36849.768092781887</v>
      </c>
      <c r="J109">
        <v>36849.768092781887</v>
      </c>
      <c r="K109">
        <v>0</v>
      </c>
    </row>
    <row r="110" spans="1:11" x14ac:dyDescent="0.25">
      <c r="A110" t="s">
        <v>137</v>
      </c>
      <c r="B110" t="s">
        <v>137</v>
      </c>
      <c r="C110" t="s">
        <v>137</v>
      </c>
      <c r="D110" t="s">
        <v>137</v>
      </c>
      <c r="E110" t="s">
        <v>137</v>
      </c>
      <c r="G110" t="s">
        <v>190</v>
      </c>
      <c r="H110">
        <v>0</v>
      </c>
      <c r="I110">
        <v>0</v>
      </c>
      <c r="J110">
        <v>0</v>
      </c>
      <c r="K110">
        <v>0</v>
      </c>
    </row>
    <row r="111" spans="1:11" x14ac:dyDescent="0.25">
      <c r="A111" t="s">
        <v>137</v>
      </c>
      <c r="B111" t="s">
        <v>137</v>
      </c>
      <c r="C111" t="s">
        <v>137</v>
      </c>
      <c r="D111" t="s">
        <v>137</v>
      </c>
      <c r="E111" t="s">
        <v>137</v>
      </c>
      <c r="G111" t="s">
        <v>191</v>
      </c>
      <c r="H111">
        <v>6774.5741587622842</v>
      </c>
      <c r="I111">
        <v>7754.2785271242738</v>
      </c>
      <c r="J111">
        <v>7754.2785271242738</v>
      </c>
      <c r="K111">
        <v>0</v>
      </c>
    </row>
    <row r="112" spans="1:11" x14ac:dyDescent="0.25">
      <c r="A112" t="s">
        <v>137</v>
      </c>
      <c r="B112" t="s">
        <v>137</v>
      </c>
      <c r="C112" t="s">
        <v>137</v>
      </c>
      <c r="D112" t="s">
        <v>137</v>
      </c>
      <c r="E112" t="s">
        <v>137</v>
      </c>
      <c r="G112" t="s">
        <v>192</v>
      </c>
      <c r="H112">
        <v>45440.960658103388</v>
      </c>
      <c r="I112">
        <v>52012.400665403125</v>
      </c>
      <c r="J112">
        <v>52012.400665403125</v>
      </c>
      <c r="K112">
        <v>0</v>
      </c>
    </row>
    <row r="113" spans="1:11" x14ac:dyDescent="0.25">
      <c r="A113" t="s">
        <v>137</v>
      </c>
      <c r="B113" t="s">
        <v>137</v>
      </c>
      <c r="C113" t="s">
        <v>137</v>
      </c>
      <c r="D113" t="s">
        <v>137</v>
      </c>
      <c r="E113" t="s">
        <v>137</v>
      </c>
      <c r="G113" t="s">
        <v>193</v>
      </c>
      <c r="H113">
        <v>31677.293987988713</v>
      </c>
      <c r="I113">
        <v>36258.302708334566</v>
      </c>
      <c r="J113">
        <v>36258.302708334566</v>
      </c>
      <c r="K113">
        <v>0</v>
      </c>
    </row>
    <row r="114" spans="1:11" x14ac:dyDescent="0.25">
      <c r="A114" t="s">
        <v>137</v>
      </c>
      <c r="B114" t="s">
        <v>137</v>
      </c>
      <c r="C114" t="s">
        <v>137</v>
      </c>
      <c r="D114" t="s">
        <v>137</v>
      </c>
      <c r="E114" t="s">
        <v>137</v>
      </c>
      <c r="G114" t="s">
        <v>194</v>
      </c>
      <c r="H114">
        <v>6410.4212356967273</v>
      </c>
      <c r="I114">
        <v>7337.4636652979425</v>
      </c>
      <c r="J114">
        <v>7337.4636652979425</v>
      </c>
      <c r="K114">
        <v>0</v>
      </c>
    </row>
    <row r="115" spans="1:11" x14ac:dyDescent="0.25">
      <c r="A115" t="s">
        <v>137</v>
      </c>
      <c r="B115" t="s">
        <v>137</v>
      </c>
      <c r="C115" t="s">
        <v>137</v>
      </c>
      <c r="D115" t="s">
        <v>137</v>
      </c>
      <c r="E115" t="s">
        <v>137</v>
      </c>
      <c r="G115" t="s">
        <v>195</v>
      </c>
      <c r="H115">
        <v>213858.71515376991</v>
      </c>
      <c r="I115">
        <v>244785.8719813971</v>
      </c>
      <c r="J115">
        <v>244785.8719813971</v>
      </c>
      <c r="K115">
        <v>0</v>
      </c>
    </row>
    <row r="116" spans="1:11" x14ac:dyDescent="0.25">
      <c r="A116" t="s">
        <v>137</v>
      </c>
      <c r="B116" t="s">
        <v>137</v>
      </c>
      <c r="C116" t="s">
        <v>137</v>
      </c>
      <c r="D116" t="s">
        <v>137</v>
      </c>
      <c r="E116" t="s">
        <v>137</v>
      </c>
      <c r="G116" t="s">
        <v>196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 t="s">
        <v>137</v>
      </c>
      <c r="B117" t="s">
        <v>137</v>
      </c>
      <c r="C117" t="s">
        <v>137</v>
      </c>
      <c r="D117" t="s">
        <v>137</v>
      </c>
      <c r="E117" t="s">
        <v>137</v>
      </c>
      <c r="G117" t="s">
        <v>197</v>
      </c>
      <c r="H117">
        <v>6972.7206660117154</v>
      </c>
      <c r="I117">
        <v>7981.0799718175404</v>
      </c>
      <c r="J117">
        <v>7981.0799718175404</v>
      </c>
      <c r="K117">
        <v>0</v>
      </c>
    </row>
    <row r="118" spans="1:11" x14ac:dyDescent="0.25">
      <c r="A118" t="s">
        <v>137</v>
      </c>
      <c r="B118" t="s">
        <v>137</v>
      </c>
      <c r="C118" t="s">
        <v>137</v>
      </c>
      <c r="D118" t="s">
        <v>137</v>
      </c>
      <c r="E118" t="s">
        <v>137</v>
      </c>
      <c r="G118" t="s">
        <v>198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 t="s">
        <v>137</v>
      </c>
      <c r="B119" t="s">
        <v>137</v>
      </c>
      <c r="C119" t="s">
        <v>137</v>
      </c>
      <c r="D119" t="s">
        <v>137</v>
      </c>
      <c r="E119" t="s">
        <v>137</v>
      </c>
      <c r="G119" t="s">
        <v>199</v>
      </c>
      <c r="H119">
        <v>18208.842092282855</v>
      </c>
      <c r="I119">
        <v>20842.11198092224</v>
      </c>
      <c r="J119">
        <v>20842.11198092224</v>
      </c>
      <c r="K119">
        <v>0</v>
      </c>
    </row>
    <row r="120" spans="1:11" x14ac:dyDescent="0.25">
      <c r="A120" t="s">
        <v>137</v>
      </c>
      <c r="B120" t="s">
        <v>137</v>
      </c>
      <c r="C120" t="s">
        <v>137</v>
      </c>
      <c r="D120" t="s">
        <v>137</v>
      </c>
      <c r="E120" t="s">
        <v>137</v>
      </c>
      <c r="G120" t="s">
        <v>200</v>
      </c>
      <c r="H120">
        <v>143248.50379685537</v>
      </c>
      <c r="I120">
        <v>163964.37192999566</v>
      </c>
      <c r="J120">
        <v>163964.37192999566</v>
      </c>
      <c r="K120">
        <v>0</v>
      </c>
    </row>
    <row r="121" spans="1:11" x14ac:dyDescent="0.25">
      <c r="A121" t="s">
        <v>137</v>
      </c>
      <c r="B121" t="s">
        <v>137</v>
      </c>
      <c r="C121" t="s">
        <v>137</v>
      </c>
      <c r="D121" t="s">
        <v>137</v>
      </c>
      <c r="E121" t="s">
        <v>137</v>
      </c>
      <c r="G121" t="s">
        <v>201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137</v>
      </c>
      <c r="B122" t="s">
        <v>137</v>
      </c>
      <c r="C122" t="s">
        <v>137</v>
      </c>
      <c r="D122" t="s">
        <v>137</v>
      </c>
      <c r="E122" t="s">
        <v>137</v>
      </c>
      <c r="G122" t="s">
        <v>202</v>
      </c>
      <c r="H122">
        <v>571977.92739372072</v>
      </c>
      <c r="I122">
        <v>654694.45849102666</v>
      </c>
      <c r="J122">
        <v>654694.45849102666</v>
      </c>
      <c r="K122">
        <v>0</v>
      </c>
    </row>
    <row r="123" spans="1:11" x14ac:dyDescent="0.25">
      <c r="A123" t="s">
        <v>137</v>
      </c>
      <c r="B123" t="s">
        <v>137</v>
      </c>
      <c r="C123" t="s">
        <v>137</v>
      </c>
      <c r="D123" t="s">
        <v>137</v>
      </c>
      <c r="E123" t="s">
        <v>137</v>
      </c>
      <c r="G123" t="s">
        <v>187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 t="s">
        <v>137</v>
      </c>
      <c r="B124" t="s">
        <v>137</v>
      </c>
      <c r="C124" t="s">
        <v>137</v>
      </c>
      <c r="D124" t="s">
        <v>137</v>
      </c>
      <c r="E124" t="s">
        <v>137</v>
      </c>
      <c r="G124" t="s">
        <v>203</v>
      </c>
      <c r="H124">
        <v>110700.18358407797</v>
      </c>
      <c r="I124">
        <v>126709.07962598205</v>
      </c>
      <c r="J124">
        <v>126709.07962598205</v>
      </c>
      <c r="K124">
        <v>0</v>
      </c>
    </row>
    <row r="125" spans="1:11" x14ac:dyDescent="0.25">
      <c r="A125" t="s">
        <v>137</v>
      </c>
      <c r="B125" t="s">
        <v>137</v>
      </c>
      <c r="C125" t="s">
        <v>137</v>
      </c>
      <c r="D125" t="s">
        <v>137</v>
      </c>
      <c r="E125" t="s">
        <v>137</v>
      </c>
      <c r="G125" t="s">
        <v>204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 t="s">
        <v>137</v>
      </c>
      <c r="B126" t="s">
        <v>137</v>
      </c>
      <c r="C126" t="s">
        <v>137</v>
      </c>
      <c r="D126" t="s">
        <v>137</v>
      </c>
      <c r="E126" t="s">
        <v>137</v>
      </c>
      <c r="G126" t="s">
        <v>187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t="s">
        <v>137</v>
      </c>
      <c r="B127" t="s">
        <v>137</v>
      </c>
      <c r="C127" t="s">
        <v>137</v>
      </c>
      <c r="D127" t="s">
        <v>137</v>
      </c>
      <c r="E127" t="s">
        <v>137</v>
      </c>
      <c r="G127" t="s">
        <v>205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 t="s">
        <v>137</v>
      </c>
      <c r="B128" t="s">
        <v>137</v>
      </c>
      <c r="C128" t="s">
        <v>137</v>
      </c>
      <c r="D128" t="s">
        <v>137</v>
      </c>
      <c r="E128" t="s">
        <v>137</v>
      </c>
      <c r="G128" t="s">
        <v>206</v>
      </c>
      <c r="H128">
        <v>0</v>
      </c>
      <c r="I128">
        <v>0</v>
      </c>
      <c r="J128">
        <v>0</v>
      </c>
      <c r="K128">
        <v>0</v>
      </c>
    </row>
    <row r="129" spans="1:11" x14ac:dyDescent="0.25">
      <c r="A129" t="s">
        <v>137</v>
      </c>
      <c r="B129" t="s">
        <v>137</v>
      </c>
      <c r="C129" t="s">
        <v>137</v>
      </c>
      <c r="D129" t="s">
        <v>137</v>
      </c>
      <c r="E129" t="s">
        <v>137</v>
      </c>
      <c r="G129" t="s">
        <v>207</v>
      </c>
      <c r="H129">
        <v>0</v>
      </c>
      <c r="I129">
        <v>0</v>
      </c>
      <c r="J129">
        <v>0</v>
      </c>
      <c r="K129">
        <v>0</v>
      </c>
    </row>
    <row r="130" spans="1:11" x14ac:dyDescent="0.25">
      <c r="A130" t="s">
        <v>137</v>
      </c>
      <c r="B130" t="s">
        <v>137</v>
      </c>
      <c r="C130" t="s">
        <v>137</v>
      </c>
      <c r="D130" t="s">
        <v>137</v>
      </c>
      <c r="E130" t="s">
        <v>137</v>
      </c>
      <c r="G130" t="s">
        <v>208</v>
      </c>
      <c r="H130">
        <v>0</v>
      </c>
      <c r="I130">
        <v>0</v>
      </c>
      <c r="J130">
        <v>0</v>
      </c>
      <c r="K130">
        <v>0</v>
      </c>
    </row>
    <row r="131" spans="1:11" x14ac:dyDescent="0.25">
      <c r="A131" t="s">
        <v>137</v>
      </c>
      <c r="B131" t="s">
        <v>137</v>
      </c>
      <c r="C131" t="s">
        <v>137</v>
      </c>
      <c r="D131" t="s">
        <v>137</v>
      </c>
      <c r="E131" t="s">
        <v>137</v>
      </c>
      <c r="G131" t="s">
        <v>209</v>
      </c>
      <c r="H131">
        <v>0</v>
      </c>
      <c r="I131">
        <v>0</v>
      </c>
      <c r="J131">
        <v>0</v>
      </c>
      <c r="K131">
        <v>0</v>
      </c>
    </row>
    <row r="132" spans="1:11" x14ac:dyDescent="0.25">
      <c r="A132" t="s">
        <v>137</v>
      </c>
      <c r="B132" t="s">
        <v>137</v>
      </c>
      <c r="C132" t="s">
        <v>137</v>
      </c>
      <c r="D132" t="s">
        <v>137</v>
      </c>
      <c r="E132" t="s">
        <v>137</v>
      </c>
      <c r="G132" t="s">
        <v>210</v>
      </c>
      <c r="H132">
        <v>0</v>
      </c>
      <c r="I132">
        <v>0</v>
      </c>
      <c r="J132">
        <v>0</v>
      </c>
      <c r="K132">
        <v>0</v>
      </c>
    </row>
    <row r="133" spans="1:11" x14ac:dyDescent="0.25">
      <c r="A133" t="s">
        <v>137</v>
      </c>
      <c r="B133" t="s">
        <v>137</v>
      </c>
      <c r="C133" t="s">
        <v>137</v>
      </c>
      <c r="D133" t="s">
        <v>137</v>
      </c>
      <c r="E133" t="s">
        <v>137</v>
      </c>
      <c r="G133" t="s">
        <v>211</v>
      </c>
      <c r="H133">
        <v>0</v>
      </c>
      <c r="I133">
        <v>0</v>
      </c>
      <c r="J133">
        <v>0</v>
      </c>
      <c r="K133">
        <v>0</v>
      </c>
    </row>
    <row r="134" spans="1:11" x14ac:dyDescent="0.25">
      <c r="A134" t="s">
        <v>137</v>
      </c>
      <c r="B134" t="s">
        <v>137</v>
      </c>
      <c r="C134" t="s">
        <v>137</v>
      </c>
      <c r="D134" t="s">
        <v>137</v>
      </c>
      <c r="E134" t="s">
        <v>137</v>
      </c>
      <c r="G134" t="s">
        <v>187</v>
      </c>
      <c r="H134">
        <v>0</v>
      </c>
      <c r="I134">
        <v>0</v>
      </c>
      <c r="J134">
        <v>0</v>
      </c>
      <c r="K134">
        <v>0</v>
      </c>
    </row>
    <row r="135" spans="1:11" x14ac:dyDescent="0.25">
      <c r="A135" t="s">
        <v>137</v>
      </c>
      <c r="B135" t="s">
        <v>137</v>
      </c>
      <c r="C135" t="s">
        <v>137</v>
      </c>
      <c r="D135" t="s">
        <v>137</v>
      </c>
      <c r="E135" t="s">
        <v>137</v>
      </c>
      <c r="G135" t="s">
        <v>212</v>
      </c>
      <c r="H135">
        <v>0</v>
      </c>
      <c r="I135">
        <v>0</v>
      </c>
      <c r="J135">
        <v>0</v>
      </c>
      <c r="K135">
        <v>0</v>
      </c>
    </row>
    <row r="136" spans="1:11" x14ac:dyDescent="0.25">
      <c r="A136" t="s">
        <v>137</v>
      </c>
      <c r="B136" t="s">
        <v>137</v>
      </c>
      <c r="C136" t="s">
        <v>137</v>
      </c>
      <c r="D136" t="s">
        <v>137</v>
      </c>
      <c r="E136" t="s">
        <v>137</v>
      </c>
      <c r="G136" t="s">
        <v>213</v>
      </c>
      <c r="H136">
        <v>0</v>
      </c>
      <c r="I136">
        <v>0</v>
      </c>
      <c r="J136">
        <v>0</v>
      </c>
      <c r="K136">
        <v>0</v>
      </c>
    </row>
    <row r="137" spans="1:11" x14ac:dyDescent="0.25">
      <c r="A137" t="s">
        <v>137</v>
      </c>
      <c r="B137" t="s">
        <v>137</v>
      </c>
      <c r="C137" t="s">
        <v>137</v>
      </c>
      <c r="D137" t="s">
        <v>137</v>
      </c>
      <c r="E137" t="s">
        <v>137</v>
      </c>
      <c r="G137" t="s">
        <v>214</v>
      </c>
      <c r="H137">
        <v>0</v>
      </c>
      <c r="I137">
        <v>0</v>
      </c>
      <c r="J137">
        <v>0</v>
      </c>
      <c r="K137">
        <v>0</v>
      </c>
    </row>
    <row r="138" spans="1:11" x14ac:dyDescent="0.25">
      <c r="A138" t="s">
        <v>137</v>
      </c>
      <c r="B138" t="s">
        <v>137</v>
      </c>
      <c r="C138" t="s">
        <v>137</v>
      </c>
      <c r="D138" t="s">
        <v>137</v>
      </c>
      <c r="E138" t="s">
        <v>137</v>
      </c>
      <c r="G138" t="s">
        <v>215</v>
      </c>
      <c r="H138">
        <v>141441.07601342016</v>
      </c>
      <c r="I138">
        <v>161895.56315737445</v>
      </c>
      <c r="J138">
        <v>161895.56315737445</v>
      </c>
      <c r="K138">
        <v>0</v>
      </c>
    </row>
    <row r="139" spans="1:11" x14ac:dyDescent="0.25">
      <c r="A139" t="s">
        <v>137</v>
      </c>
      <c r="B139" t="s">
        <v>137</v>
      </c>
      <c r="C139" t="s">
        <v>137</v>
      </c>
      <c r="D139" t="s">
        <v>137</v>
      </c>
      <c r="E139" t="s">
        <v>137</v>
      </c>
      <c r="G139" t="s">
        <v>216</v>
      </c>
      <c r="H139">
        <v>0</v>
      </c>
      <c r="I139">
        <v>0</v>
      </c>
      <c r="J139">
        <v>0</v>
      </c>
      <c r="K139">
        <v>0</v>
      </c>
    </row>
    <row r="140" spans="1:11" x14ac:dyDescent="0.25">
      <c r="A140" t="s">
        <v>137</v>
      </c>
      <c r="B140" t="s">
        <v>137</v>
      </c>
      <c r="C140" t="s">
        <v>137</v>
      </c>
      <c r="D140" t="s">
        <v>137</v>
      </c>
      <c r="E140" t="s">
        <v>137</v>
      </c>
      <c r="G140" t="s">
        <v>187</v>
      </c>
      <c r="H140">
        <v>0</v>
      </c>
      <c r="I140">
        <v>0</v>
      </c>
      <c r="J140">
        <v>0</v>
      </c>
      <c r="K140">
        <v>0</v>
      </c>
    </row>
    <row r="141" spans="1:11" x14ac:dyDescent="0.25">
      <c r="A141" t="s">
        <v>137</v>
      </c>
      <c r="B141" t="s">
        <v>137</v>
      </c>
      <c r="C141" t="s">
        <v>137</v>
      </c>
      <c r="D141" t="s">
        <v>137</v>
      </c>
      <c r="E141" t="s">
        <v>137</v>
      </c>
      <c r="G141" t="s">
        <v>217</v>
      </c>
      <c r="H141">
        <v>101623.08230566517</v>
      </c>
      <c r="I141">
        <v>116319.2942487433</v>
      </c>
      <c r="J141">
        <v>116319.2942487433</v>
      </c>
      <c r="K141">
        <v>0</v>
      </c>
    </row>
    <row r="142" spans="1:11" x14ac:dyDescent="0.25">
      <c r="A142" t="s">
        <v>137</v>
      </c>
      <c r="B142" t="s">
        <v>137</v>
      </c>
      <c r="C142" t="s">
        <v>137</v>
      </c>
      <c r="D142" t="s">
        <v>137</v>
      </c>
      <c r="E142" t="s">
        <v>137</v>
      </c>
      <c r="G142" t="s">
        <v>218</v>
      </c>
      <c r="H142">
        <v>0</v>
      </c>
      <c r="I142">
        <v>0</v>
      </c>
      <c r="J142">
        <v>0</v>
      </c>
      <c r="K142">
        <v>0</v>
      </c>
    </row>
    <row r="143" spans="1:11" x14ac:dyDescent="0.25">
      <c r="A143" t="s">
        <v>137</v>
      </c>
      <c r="B143" t="s">
        <v>137</v>
      </c>
      <c r="C143" t="s">
        <v>137</v>
      </c>
      <c r="D143" t="s">
        <v>137</v>
      </c>
      <c r="E143" t="s">
        <v>137</v>
      </c>
      <c r="G143" t="s">
        <v>209</v>
      </c>
      <c r="H143">
        <v>20978.950219933438</v>
      </c>
      <c r="I143">
        <v>24012.819020016461</v>
      </c>
      <c r="J143">
        <v>24012.819020016461</v>
      </c>
      <c r="K143">
        <v>0</v>
      </c>
    </row>
    <row r="144" spans="1:11" x14ac:dyDescent="0.25">
      <c r="A144" t="s">
        <v>137</v>
      </c>
      <c r="B144" t="s">
        <v>137</v>
      </c>
      <c r="C144" t="s">
        <v>137</v>
      </c>
      <c r="D144" t="s">
        <v>137</v>
      </c>
      <c r="E144" t="s">
        <v>137</v>
      </c>
      <c r="G144" t="s">
        <v>219</v>
      </c>
      <c r="H144">
        <v>0</v>
      </c>
      <c r="I144">
        <v>0</v>
      </c>
      <c r="J144">
        <v>0</v>
      </c>
      <c r="K144">
        <v>0</v>
      </c>
    </row>
    <row r="145" spans="1:11" x14ac:dyDescent="0.25">
      <c r="A145" t="s">
        <v>137</v>
      </c>
      <c r="B145" t="s">
        <v>137</v>
      </c>
      <c r="C145" t="s">
        <v>137</v>
      </c>
      <c r="D145" t="s">
        <v>137</v>
      </c>
      <c r="E145" t="s">
        <v>137</v>
      </c>
      <c r="G145" t="s">
        <v>187</v>
      </c>
      <c r="H145">
        <v>0</v>
      </c>
      <c r="I145">
        <v>0</v>
      </c>
      <c r="J145">
        <v>0</v>
      </c>
      <c r="K145">
        <v>0</v>
      </c>
    </row>
    <row r="146" spans="1:11" x14ac:dyDescent="0.25">
      <c r="A146" t="s">
        <v>137</v>
      </c>
      <c r="B146" t="s">
        <v>137</v>
      </c>
      <c r="C146" t="s">
        <v>137</v>
      </c>
      <c r="D146" t="s">
        <v>137</v>
      </c>
      <c r="E146" t="s">
        <v>137</v>
      </c>
      <c r="G146" t="s">
        <v>220</v>
      </c>
      <c r="H146">
        <v>44382.673824185447</v>
      </c>
      <c r="I146">
        <v>50801.06978622538</v>
      </c>
      <c r="J146">
        <v>50801.06978622538</v>
      </c>
      <c r="K146">
        <v>0</v>
      </c>
    </row>
    <row r="147" spans="1:11" x14ac:dyDescent="0.25">
      <c r="A147" t="s">
        <v>137</v>
      </c>
      <c r="B147" t="s">
        <v>137</v>
      </c>
      <c r="C147" t="s">
        <v>137</v>
      </c>
      <c r="D147" t="s">
        <v>137</v>
      </c>
      <c r="E147" t="s">
        <v>137</v>
      </c>
      <c r="G147" t="s">
        <v>221</v>
      </c>
      <c r="H147">
        <v>67155.378233888114</v>
      </c>
      <c r="I147">
        <v>76867.046579808521</v>
      </c>
      <c r="J147">
        <v>76867.046579808521</v>
      </c>
      <c r="K147">
        <v>0</v>
      </c>
    </row>
    <row r="148" spans="1:11" x14ac:dyDescent="0.25">
      <c r="A148" t="s">
        <v>137</v>
      </c>
      <c r="B148" t="s">
        <v>137</v>
      </c>
      <c r="C148" t="s">
        <v>137</v>
      </c>
      <c r="D148" t="s">
        <v>137</v>
      </c>
      <c r="E148" t="s">
        <v>137</v>
      </c>
      <c r="G148" t="s">
        <v>222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 t="s">
        <v>137</v>
      </c>
      <c r="B149" t="s">
        <v>137</v>
      </c>
      <c r="C149" t="s">
        <v>137</v>
      </c>
      <c r="D149" t="s">
        <v>137</v>
      </c>
      <c r="E149" t="s">
        <v>137</v>
      </c>
      <c r="G149" t="s">
        <v>223</v>
      </c>
      <c r="H149">
        <v>0</v>
      </c>
      <c r="I149">
        <v>0</v>
      </c>
      <c r="J149">
        <v>0</v>
      </c>
      <c r="K149">
        <v>0</v>
      </c>
    </row>
    <row r="150" spans="1:11" x14ac:dyDescent="0.25">
      <c r="A150" t="s">
        <v>137</v>
      </c>
      <c r="B150" t="s">
        <v>137</v>
      </c>
      <c r="C150" t="s">
        <v>137</v>
      </c>
      <c r="D150" t="s">
        <v>137</v>
      </c>
      <c r="E150" t="s">
        <v>137</v>
      </c>
      <c r="G150" t="s">
        <v>187</v>
      </c>
      <c r="H150">
        <v>0</v>
      </c>
      <c r="I150">
        <v>0</v>
      </c>
      <c r="J150">
        <v>0</v>
      </c>
      <c r="K150">
        <v>0</v>
      </c>
    </row>
    <row r="151" spans="1:11" x14ac:dyDescent="0.25">
      <c r="A151" t="s">
        <v>137</v>
      </c>
      <c r="B151" t="s">
        <v>137</v>
      </c>
      <c r="C151" t="s">
        <v>137</v>
      </c>
      <c r="D151" t="s">
        <v>137</v>
      </c>
      <c r="E151" t="s">
        <v>137</v>
      </c>
      <c r="G151" t="s">
        <v>224</v>
      </c>
      <c r="H151">
        <v>20324.616461133035</v>
      </c>
      <c r="I151">
        <v>23263.858849748656</v>
      </c>
      <c r="J151">
        <v>23263.858849748656</v>
      </c>
      <c r="K151">
        <v>0</v>
      </c>
    </row>
    <row r="152" spans="1:11" x14ac:dyDescent="0.25">
      <c r="A152" t="s">
        <v>137</v>
      </c>
      <c r="B152" t="s">
        <v>137</v>
      </c>
      <c r="C152" t="s">
        <v>137</v>
      </c>
      <c r="D152" t="s">
        <v>137</v>
      </c>
      <c r="E152" t="s">
        <v>137</v>
      </c>
      <c r="G152" t="s">
        <v>187</v>
      </c>
      <c r="H152">
        <v>0</v>
      </c>
      <c r="I152">
        <v>0</v>
      </c>
      <c r="J152">
        <v>0</v>
      </c>
      <c r="K152">
        <v>0</v>
      </c>
    </row>
    <row r="153" spans="1:11" x14ac:dyDescent="0.25">
      <c r="A153" t="s">
        <v>137</v>
      </c>
      <c r="B153" t="s">
        <v>137</v>
      </c>
      <c r="C153" t="s">
        <v>137</v>
      </c>
      <c r="D153" t="s">
        <v>137</v>
      </c>
      <c r="E153" t="s">
        <v>137</v>
      </c>
      <c r="G153" t="s">
        <v>225</v>
      </c>
      <c r="H153">
        <v>0</v>
      </c>
      <c r="I153">
        <v>0</v>
      </c>
      <c r="J153">
        <v>0</v>
      </c>
      <c r="K153">
        <v>0</v>
      </c>
    </row>
    <row r="154" spans="1:11" x14ac:dyDescent="0.25">
      <c r="A154" t="s">
        <v>137</v>
      </c>
      <c r="B154" t="s">
        <v>137</v>
      </c>
      <c r="C154" t="s">
        <v>137</v>
      </c>
      <c r="D154" t="s">
        <v>137</v>
      </c>
      <c r="E154" t="s">
        <v>137</v>
      </c>
      <c r="G154" t="s">
        <v>226</v>
      </c>
      <c r="H154">
        <v>0</v>
      </c>
      <c r="I154">
        <v>0</v>
      </c>
      <c r="J154">
        <v>0</v>
      </c>
      <c r="K154">
        <v>0</v>
      </c>
    </row>
    <row r="155" spans="1:11" x14ac:dyDescent="0.25">
      <c r="A155" t="s">
        <v>137</v>
      </c>
      <c r="B155" t="s">
        <v>137</v>
      </c>
      <c r="C155" t="s">
        <v>137</v>
      </c>
      <c r="D155" t="s">
        <v>137</v>
      </c>
      <c r="E155" t="s">
        <v>137</v>
      </c>
      <c r="G155" t="s">
        <v>227</v>
      </c>
      <c r="H155">
        <v>0</v>
      </c>
      <c r="I155">
        <v>0</v>
      </c>
      <c r="J155">
        <v>0</v>
      </c>
      <c r="K155">
        <v>0</v>
      </c>
    </row>
    <row r="156" spans="1:11" x14ac:dyDescent="0.25">
      <c r="A156" t="s">
        <v>137</v>
      </c>
      <c r="B156" t="s">
        <v>137</v>
      </c>
      <c r="C156" t="s">
        <v>137</v>
      </c>
      <c r="D156" t="s">
        <v>137</v>
      </c>
      <c r="E156" t="s">
        <v>137</v>
      </c>
      <c r="G156" t="s">
        <v>228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 t="s">
        <v>137</v>
      </c>
      <c r="B157" t="s">
        <v>137</v>
      </c>
      <c r="C157" t="s">
        <v>137</v>
      </c>
      <c r="D157" t="s">
        <v>137</v>
      </c>
      <c r="E157" t="s">
        <v>137</v>
      </c>
      <c r="G157" t="s">
        <v>229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 t="s">
        <v>137</v>
      </c>
      <c r="B158" t="s">
        <v>137</v>
      </c>
      <c r="C158" t="s">
        <v>137</v>
      </c>
      <c r="D158" t="s">
        <v>137</v>
      </c>
      <c r="E158" t="s">
        <v>137</v>
      </c>
      <c r="G158" t="s">
        <v>230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 t="s">
        <v>137</v>
      </c>
      <c r="B159" t="s">
        <v>137</v>
      </c>
      <c r="C159" t="s">
        <v>137</v>
      </c>
      <c r="D159" t="s">
        <v>137</v>
      </c>
      <c r="E159" t="s">
        <v>137</v>
      </c>
      <c r="G159" t="s">
        <v>231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 t="s">
        <v>137</v>
      </c>
      <c r="B160" t="s">
        <v>137</v>
      </c>
      <c r="C160" t="s">
        <v>137</v>
      </c>
      <c r="D160" t="s">
        <v>137</v>
      </c>
      <c r="E160" t="s">
        <v>137</v>
      </c>
      <c r="G160" t="s">
        <v>232</v>
      </c>
      <c r="H160">
        <v>3559018.9674784685</v>
      </c>
      <c r="I160">
        <v>4073706.1415810678</v>
      </c>
      <c r="J160">
        <v>4073706.1415810678</v>
      </c>
      <c r="K160">
        <v>0</v>
      </c>
    </row>
    <row r="161" spans="1:11" x14ac:dyDescent="0.25">
      <c r="A161" t="s">
        <v>137</v>
      </c>
      <c r="B161" t="s">
        <v>137</v>
      </c>
      <c r="C161" t="s">
        <v>137</v>
      </c>
      <c r="D161" t="s">
        <v>137</v>
      </c>
      <c r="E161" t="s">
        <v>137</v>
      </c>
      <c r="G161" t="s">
        <v>233</v>
      </c>
      <c r="H161">
        <v>3516.264812829429</v>
      </c>
      <c r="I161">
        <v>4024.7690991085751</v>
      </c>
      <c r="J161">
        <v>4024.7690991085751</v>
      </c>
      <c r="K161">
        <v>0</v>
      </c>
    </row>
    <row r="162" spans="1:11" x14ac:dyDescent="0.25">
      <c r="A162" t="s">
        <v>137</v>
      </c>
      <c r="B162" t="s">
        <v>137</v>
      </c>
      <c r="C162" t="s">
        <v>137</v>
      </c>
      <c r="D162" t="s">
        <v>137</v>
      </c>
      <c r="E162" t="s">
        <v>137</v>
      </c>
      <c r="G162" t="s">
        <v>88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t="s">
        <v>137</v>
      </c>
      <c r="B163" t="s">
        <v>137</v>
      </c>
      <c r="C163" t="s">
        <v>137</v>
      </c>
      <c r="D163" t="s">
        <v>137</v>
      </c>
      <c r="E163" t="s">
        <v>137</v>
      </c>
      <c r="G163" t="s">
        <v>137</v>
      </c>
      <c r="H163" t="s">
        <v>137</v>
      </c>
      <c r="I163" t="s">
        <v>137</v>
      </c>
      <c r="J163" t="s">
        <v>137</v>
      </c>
      <c r="K163" t="s">
        <v>137</v>
      </c>
    </row>
    <row r="164" spans="1:11" x14ac:dyDescent="0.25">
      <c r="A164" t="s">
        <v>137</v>
      </c>
      <c r="B164" t="s">
        <v>137</v>
      </c>
      <c r="C164" t="s">
        <v>137</v>
      </c>
      <c r="D164" t="s">
        <v>137</v>
      </c>
      <c r="E164" t="s">
        <v>137</v>
      </c>
      <c r="G164" t="s">
        <v>137</v>
      </c>
      <c r="H164" t="s">
        <v>137</v>
      </c>
      <c r="I164" t="s">
        <v>137</v>
      </c>
      <c r="J164" t="s">
        <v>137</v>
      </c>
      <c r="K164" t="s">
        <v>137</v>
      </c>
    </row>
    <row r="165" spans="1:11" x14ac:dyDescent="0.25">
      <c r="A165" t="s">
        <v>137</v>
      </c>
      <c r="B165" t="s">
        <v>137</v>
      </c>
      <c r="C165" t="s">
        <v>137</v>
      </c>
      <c r="D165" t="s">
        <v>137</v>
      </c>
      <c r="E165" t="s">
        <v>137</v>
      </c>
      <c r="G165" t="s">
        <v>137</v>
      </c>
      <c r="H165" t="s">
        <v>137</v>
      </c>
      <c r="I165" t="s">
        <v>137</v>
      </c>
      <c r="J165" t="s">
        <v>137</v>
      </c>
      <c r="K165" t="s">
        <v>137</v>
      </c>
    </row>
    <row r="166" spans="1:11" x14ac:dyDescent="0.25">
      <c r="A166" t="s">
        <v>137</v>
      </c>
      <c r="B166" t="s">
        <v>137</v>
      </c>
      <c r="C166" t="s">
        <v>137</v>
      </c>
      <c r="D166" t="s">
        <v>137</v>
      </c>
      <c r="E166" t="s">
        <v>137</v>
      </c>
      <c r="G166" t="s">
        <v>137</v>
      </c>
      <c r="H166" t="s">
        <v>137</v>
      </c>
      <c r="I166" t="s">
        <v>137</v>
      </c>
      <c r="J166" t="s">
        <v>137</v>
      </c>
      <c r="K166" t="s">
        <v>137</v>
      </c>
    </row>
    <row r="167" spans="1:11" x14ac:dyDescent="0.25">
      <c r="A167" t="s">
        <v>137</v>
      </c>
      <c r="B167" t="s">
        <v>137</v>
      </c>
      <c r="C167" t="s">
        <v>137</v>
      </c>
      <c r="D167" t="s">
        <v>137</v>
      </c>
      <c r="E167" t="s">
        <v>137</v>
      </c>
      <c r="G167" t="s">
        <v>137</v>
      </c>
      <c r="H167" t="s">
        <v>137</v>
      </c>
      <c r="I167" t="s">
        <v>137</v>
      </c>
      <c r="J167" t="s">
        <v>137</v>
      </c>
      <c r="K167" t="s">
        <v>137</v>
      </c>
    </row>
    <row r="168" spans="1:11" x14ac:dyDescent="0.25">
      <c r="A168" t="s">
        <v>137</v>
      </c>
      <c r="B168" t="s">
        <v>137</v>
      </c>
      <c r="C168" t="s">
        <v>137</v>
      </c>
      <c r="D168" t="s">
        <v>137</v>
      </c>
      <c r="E168" t="s">
        <v>137</v>
      </c>
      <c r="G168" t="s">
        <v>137</v>
      </c>
      <c r="H168" t="s">
        <v>137</v>
      </c>
      <c r="I168" t="s">
        <v>137</v>
      </c>
      <c r="J168" t="s">
        <v>137</v>
      </c>
      <c r="K168" t="s">
        <v>137</v>
      </c>
    </row>
    <row r="169" spans="1:11" x14ac:dyDescent="0.25">
      <c r="A169" t="s">
        <v>137</v>
      </c>
      <c r="B169" t="s">
        <v>137</v>
      </c>
      <c r="C169" t="s">
        <v>137</v>
      </c>
      <c r="D169" t="s">
        <v>137</v>
      </c>
      <c r="E169" t="s">
        <v>137</v>
      </c>
      <c r="G169" t="s">
        <v>137</v>
      </c>
      <c r="H169" t="s">
        <v>137</v>
      </c>
      <c r="I169" t="s">
        <v>137</v>
      </c>
      <c r="J169" t="s">
        <v>137</v>
      </c>
      <c r="K169" t="s">
        <v>137</v>
      </c>
    </row>
    <row r="170" spans="1:11" x14ac:dyDescent="0.25">
      <c r="A170" t="s">
        <v>137</v>
      </c>
      <c r="B170" t="s">
        <v>137</v>
      </c>
      <c r="C170" t="s">
        <v>137</v>
      </c>
      <c r="D170" t="s">
        <v>137</v>
      </c>
      <c r="E170" t="s">
        <v>137</v>
      </c>
      <c r="G170" t="s">
        <v>137</v>
      </c>
      <c r="H170" t="s">
        <v>137</v>
      </c>
      <c r="I170" t="s">
        <v>137</v>
      </c>
      <c r="J170" t="s">
        <v>137</v>
      </c>
      <c r="K170" t="s">
        <v>137</v>
      </c>
    </row>
    <row r="171" spans="1:11" x14ac:dyDescent="0.25">
      <c r="A171" t="s">
        <v>137</v>
      </c>
      <c r="B171" t="s">
        <v>137</v>
      </c>
      <c r="C171" t="s">
        <v>137</v>
      </c>
      <c r="D171" t="s">
        <v>137</v>
      </c>
      <c r="E171" t="s">
        <v>137</v>
      </c>
      <c r="G171" t="s">
        <v>137</v>
      </c>
      <c r="H171" t="s">
        <v>137</v>
      </c>
      <c r="I171" t="s">
        <v>137</v>
      </c>
      <c r="J171" t="s">
        <v>137</v>
      </c>
      <c r="K171" t="s">
        <v>137</v>
      </c>
    </row>
    <row r="172" spans="1:11" x14ac:dyDescent="0.25">
      <c r="A172" t="s">
        <v>137</v>
      </c>
      <c r="B172" t="s">
        <v>137</v>
      </c>
      <c r="C172" t="s">
        <v>137</v>
      </c>
      <c r="D172" t="s">
        <v>137</v>
      </c>
      <c r="E172" t="s">
        <v>137</v>
      </c>
      <c r="G172" t="s">
        <v>137</v>
      </c>
      <c r="H172" t="s">
        <v>137</v>
      </c>
      <c r="I172" t="s">
        <v>137</v>
      </c>
      <c r="J172" t="s">
        <v>137</v>
      </c>
      <c r="K172" t="s">
        <v>137</v>
      </c>
    </row>
    <row r="173" spans="1:11" x14ac:dyDescent="0.25">
      <c r="A173" t="s">
        <v>137</v>
      </c>
      <c r="B173" t="s">
        <v>137</v>
      </c>
      <c r="C173" t="s">
        <v>137</v>
      </c>
      <c r="D173" t="s">
        <v>137</v>
      </c>
      <c r="E173" t="s">
        <v>137</v>
      </c>
      <c r="G173" t="s">
        <v>137</v>
      </c>
      <c r="H173" t="s">
        <v>137</v>
      </c>
      <c r="I173" t="s">
        <v>137</v>
      </c>
      <c r="J173" t="s">
        <v>137</v>
      </c>
      <c r="K173" t="s">
        <v>137</v>
      </c>
    </row>
    <row r="174" spans="1:11" x14ac:dyDescent="0.25">
      <c r="A174" t="s">
        <v>137</v>
      </c>
      <c r="B174" t="s">
        <v>137</v>
      </c>
      <c r="C174" t="s">
        <v>137</v>
      </c>
      <c r="D174" t="s">
        <v>137</v>
      </c>
      <c r="E174" t="s">
        <v>137</v>
      </c>
      <c r="G174" t="s">
        <v>137</v>
      </c>
      <c r="H174" t="s">
        <v>137</v>
      </c>
      <c r="I174" t="s">
        <v>137</v>
      </c>
      <c r="J174" t="s">
        <v>137</v>
      </c>
      <c r="K174" t="s">
        <v>137</v>
      </c>
    </row>
    <row r="175" spans="1:11" x14ac:dyDescent="0.25">
      <c r="A175" t="s">
        <v>137</v>
      </c>
      <c r="B175" t="s">
        <v>137</v>
      </c>
      <c r="C175" t="s">
        <v>137</v>
      </c>
      <c r="D175" t="s">
        <v>137</v>
      </c>
      <c r="E175" t="s">
        <v>137</v>
      </c>
      <c r="G175" t="s">
        <v>137</v>
      </c>
      <c r="H175" t="s">
        <v>137</v>
      </c>
      <c r="I175" t="s">
        <v>137</v>
      </c>
      <c r="J175" t="s">
        <v>137</v>
      </c>
      <c r="K175" t="s">
        <v>137</v>
      </c>
    </row>
    <row r="176" spans="1:11" x14ac:dyDescent="0.25">
      <c r="A176" t="s">
        <v>137</v>
      </c>
      <c r="B176" t="s">
        <v>137</v>
      </c>
      <c r="C176" t="s">
        <v>137</v>
      </c>
      <c r="D176" t="s">
        <v>137</v>
      </c>
      <c r="E176" t="s">
        <v>137</v>
      </c>
      <c r="G176" t="s">
        <v>137</v>
      </c>
      <c r="H176" t="s">
        <v>137</v>
      </c>
      <c r="I176" t="s">
        <v>137</v>
      </c>
      <c r="J176" t="s">
        <v>137</v>
      </c>
      <c r="K176" t="s">
        <v>137</v>
      </c>
    </row>
    <row r="177" spans="1:11" x14ac:dyDescent="0.25">
      <c r="A177" t="s">
        <v>137</v>
      </c>
      <c r="B177" t="s">
        <v>137</v>
      </c>
      <c r="C177" t="s">
        <v>137</v>
      </c>
      <c r="D177" t="s">
        <v>137</v>
      </c>
      <c r="E177" t="s">
        <v>137</v>
      </c>
      <c r="G177" t="s">
        <v>137</v>
      </c>
      <c r="H177" t="s">
        <v>137</v>
      </c>
      <c r="I177" t="s">
        <v>137</v>
      </c>
      <c r="J177" t="s">
        <v>137</v>
      </c>
      <c r="K177" t="s">
        <v>137</v>
      </c>
    </row>
    <row r="178" spans="1:11" x14ac:dyDescent="0.25">
      <c r="A178" t="s">
        <v>137</v>
      </c>
      <c r="B178" t="s">
        <v>137</v>
      </c>
      <c r="C178" t="s">
        <v>137</v>
      </c>
      <c r="D178" t="s">
        <v>137</v>
      </c>
      <c r="E178" t="s">
        <v>137</v>
      </c>
      <c r="G178" t="s">
        <v>137</v>
      </c>
      <c r="H178" t="s">
        <v>137</v>
      </c>
      <c r="I178" t="s">
        <v>137</v>
      </c>
      <c r="J178" t="s">
        <v>137</v>
      </c>
      <c r="K178" t="s">
        <v>137</v>
      </c>
    </row>
    <row r="179" spans="1:11" x14ac:dyDescent="0.25">
      <c r="A179" t="s">
        <v>137</v>
      </c>
      <c r="B179" t="s">
        <v>137</v>
      </c>
      <c r="C179" t="s">
        <v>137</v>
      </c>
      <c r="D179" t="s">
        <v>137</v>
      </c>
      <c r="E179" t="s">
        <v>137</v>
      </c>
      <c r="G179" t="s">
        <v>137</v>
      </c>
      <c r="H179" t="s">
        <v>137</v>
      </c>
      <c r="I179" t="s">
        <v>137</v>
      </c>
      <c r="J179" t="s">
        <v>137</v>
      </c>
      <c r="K179" t="s">
        <v>137</v>
      </c>
    </row>
    <row r="180" spans="1:11" x14ac:dyDescent="0.25">
      <c r="A180" t="s">
        <v>137</v>
      </c>
      <c r="B180" t="s">
        <v>137</v>
      </c>
      <c r="C180" t="s">
        <v>137</v>
      </c>
      <c r="D180" t="s">
        <v>137</v>
      </c>
      <c r="E180" t="s">
        <v>137</v>
      </c>
      <c r="G180" t="s">
        <v>137</v>
      </c>
      <c r="H180" t="s">
        <v>137</v>
      </c>
      <c r="I180" t="s">
        <v>137</v>
      </c>
      <c r="J180" t="s">
        <v>137</v>
      </c>
      <c r="K180" t="s">
        <v>137</v>
      </c>
    </row>
    <row r="181" spans="1:11" x14ac:dyDescent="0.25">
      <c r="A181" t="s">
        <v>137</v>
      </c>
      <c r="B181" t="s">
        <v>137</v>
      </c>
      <c r="C181" t="s">
        <v>137</v>
      </c>
      <c r="D181" t="s">
        <v>137</v>
      </c>
      <c r="E181" t="s">
        <v>137</v>
      </c>
      <c r="G181" t="s">
        <v>137</v>
      </c>
      <c r="H181" t="s">
        <v>137</v>
      </c>
      <c r="I181" t="s">
        <v>137</v>
      </c>
      <c r="J181" t="s">
        <v>137</v>
      </c>
      <c r="K181" t="s">
        <v>137</v>
      </c>
    </row>
    <row r="182" spans="1:11" x14ac:dyDescent="0.25">
      <c r="A182" t="s">
        <v>137</v>
      </c>
      <c r="B182" t="s">
        <v>137</v>
      </c>
      <c r="C182" t="s">
        <v>137</v>
      </c>
      <c r="D182" t="s">
        <v>137</v>
      </c>
      <c r="E182" t="s">
        <v>137</v>
      </c>
      <c r="G182" t="s">
        <v>137</v>
      </c>
      <c r="H182" t="s">
        <v>137</v>
      </c>
      <c r="I182" t="s">
        <v>137</v>
      </c>
      <c r="J182" t="s">
        <v>137</v>
      </c>
      <c r="K182" t="s">
        <v>137</v>
      </c>
    </row>
    <row r="183" spans="1:11" x14ac:dyDescent="0.25">
      <c r="A183" t="s">
        <v>137</v>
      </c>
      <c r="B183" t="s">
        <v>137</v>
      </c>
      <c r="C183" t="s">
        <v>137</v>
      </c>
      <c r="D183" t="s">
        <v>137</v>
      </c>
      <c r="E183" t="s">
        <v>137</v>
      </c>
      <c r="G183" t="s">
        <v>137</v>
      </c>
      <c r="H183" t="s">
        <v>137</v>
      </c>
      <c r="I183" t="s">
        <v>137</v>
      </c>
      <c r="J183" t="s">
        <v>137</v>
      </c>
      <c r="K183" t="s">
        <v>137</v>
      </c>
    </row>
    <row r="184" spans="1:11" x14ac:dyDescent="0.25">
      <c r="A184" t="s">
        <v>137</v>
      </c>
      <c r="B184" t="s">
        <v>137</v>
      </c>
      <c r="C184" t="s">
        <v>137</v>
      </c>
      <c r="D184" t="s">
        <v>137</v>
      </c>
      <c r="E184" t="s">
        <v>137</v>
      </c>
      <c r="G184" t="s">
        <v>137</v>
      </c>
      <c r="H184" t="s">
        <v>137</v>
      </c>
      <c r="I184" t="s">
        <v>137</v>
      </c>
      <c r="J184" t="s">
        <v>137</v>
      </c>
      <c r="K184" t="s">
        <v>137</v>
      </c>
    </row>
    <row r="185" spans="1:11" x14ac:dyDescent="0.25">
      <c r="A185" t="s">
        <v>137</v>
      </c>
      <c r="B185" t="s">
        <v>137</v>
      </c>
      <c r="C185" t="s">
        <v>137</v>
      </c>
      <c r="D185" t="s">
        <v>137</v>
      </c>
      <c r="E185" t="s">
        <v>137</v>
      </c>
      <c r="G185" t="s">
        <v>137</v>
      </c>
      <c r="H185" t="s">
        <v>137</v>
      </c>
      <c r="I185" t="s">
        <v>137</v>
      </c>
      <c r="J185" t="s">
        <v>137</v>
      </c>
      <c r="K185" t="s">
        <v>137</v>
      </c>
    </row>
    <row r="186" spans="1:11" x14ac:dyDescent="0.25">
      <c r="A186" t="s">
        <v>137</v>
      </c>
      <c r="B186" t="s">
        <v>137</v>
      </c>
      <c r="C186" t="s">
        <v>137</v>
      </c>
      <c r="D186" t="s">
        <v>137</v>
      </c>
      <c r="E186" t="s">
        <v>137</v>
      </c>
      <c r="G186" t="s">
        <v>137</v>
      </c>
      <c r="H186" t="s">
        <v>137</v>
      </c>
      <c r="I186" t="s">
        <v>137</v>
      </c>
      <c r="J186" t="s">
        <v>137</v>
      </c>
      <c r="K186" t="s">
        <v>137</v>
      </c>
    </row>
    <row r="187" spans="1:11" x14ac:dyDescent="0.25">
      <c r="A187" t="s">
        <v>137</v>
      </c>
      <c r="B187" t="s">
        <v>137</v>
      </c>
      <c r="C187" t="s">
        <v>137</v>
      </c>
      <c r="D187" t="s">
        <v>137</v>
      </c>
      <c r="E187" t="s">
        <v>137</v>
      </c>
      <c r="G187" t="s">
        <v>137</v>
      </c>
      <c r="H187" t="s">
        <v>137</v>
      </c>
      <c r="I187" t="s">
        <v>137</v>
      </c>
      <c r="J187" t="s">
        <v>137</v>
      </c>
      <c r="K187" t="s">
        <v>137</v>
      </c>
    </row>
    <row r="188" spans="1:11" x14ac:dyDescent="0.25">
      <c r="A188" t="s">
        <v>137</v>
      </c>
      <c r="B188" t="s">
        <v>137</v>
      </c>
      <c r="C188" t="s">
        <v>137</v>
      </c>
      <c r="D188" t="s">
        <v>137</v>
      </c>
      <c r="E188" t="s">
        <v>137</v>
      </c>
      <c r="G188" t="s">
        <v>137</v>
      </c>
      <c r="H188" t="s">
        <v>137</v>
      </c>
      <c r="I188" t="s">
        <v>137</v>
      </c>
      <c r="J188" t="s">
        <v>137</v>
      </c>
      <c r="K188" t="s">
        <v>137</v>
      </c>
    </row>
    <row r="189" spans="1:11" x14ac:dyDescent="0.25">
      <c r="A189" t="s">
        <v>137</v>
      </c>
      <c r="B189" t="s">
        <v>137</v>
      </c>
      <c r="C189" t="s">
        <v>137</v>
      </c>
      <c r="D189" t="s">
        <v>137</v>
      </c>
      <c r="E189" t="s">
        <v>137</v>
      </c>
      <c r="G189" t="s">
        <v>137</v>
      </c>
      <c r="H189" t="s">
        <v>137</v>
      </c>
      <c r="I189" t="s">
        <v>137</v>
      </c>
      <c r="J189" t="s">
        <v>137</v>
      </c>
      <c r="K189" t="s">
        <v>137</v>
      </c>
    </row>
    <row r="190" spans="1:11" x14ac:dyDescent="0.25">
      <c r="A190" t="s">
        <v>137</v>
      </c>
      <c r="B190" t="s">
        <v>137</v>
      </c>
      <c r="C190" t="s">
        <v>137</v>
      </c>
      <c r="D190" t="s">
        <v>137</v>
      </c>
      <c r="E190" t="s">
        <v>137</v>
      </c>
      <c r="G190" t="s">
        <v>137</v>
      </c>
      <c r="H190" t="s">
        <v>137</v>
      </c>
      <c r="I190" t="s">
        <v>137</v>
      </c>
      <c r="J190" t="s">
        <v>137</v>
      </c>
      <c r="K190" t="s">
        <v>137</v>
      </c>
    </row>
    <row r="191" spans="1:11" x14ac:dyDescent="0.25">
      <c r="A191" t="s">
        <v>137</v>
      </c>
      <c r="B191" t="s">
        <v>137</v>
      </c>
      <c r="C191" t="s">
        <v>137</v>
      </c>
      <c r="D191" t="s">
        <v>137</v>
      </c>
      <c r="E191" t="s">
        <v>137</v>
      </c>
      <c r="G191" t="s">
        <v>137</v>
      </c>
      <c r="H191" t="s">
        <v>137</v>
      </c>
      <c r="I191" t="s">
        <v>137</v>
      </c>
      <c r="J191" t="s">
        <v>137</v>
      </c>
      <c r="K191" t="s">
        <v>137</v>
      </c>
    </row>
    <row r="192" spans="1:11" x14ac:dyDescent="0.25">
      <c r="A192" t="s">
        <v>137</v>
      </c>
      <c r="B192" t="s">
        <v>137</v>
      </c>
      <c r="C192" t="s">
        <v>137</v>
      </c>
      <c r="D192" t="s">
        <v>137</v>
      </c>
      <c r="E192" t="s">
        <v>137</v>
      </c>
      <c r="G192" t="s">
        <v>137</v>
      </c>
      <c r="H192" t="s">
        <v>137</v>
      </c>
      <c r="I192" t="s">
        <v>137</v>
      </c>
      <c r="J192" t="s">
        <v>137</v>
      </c>
      <c r="K192" t="s">
        <v>137</v>
      </c>
    </row>
    <row r="193" spans="1:11" x14ac:dyDescent="0.25">
      <c r="A193" t="s">
        <v>137</v>
      </c>
      <c r="B193" t="s">
        <v>137</v>
      </c>
      <c r="C193" t="s">
        <v>137</v>
      </c>
      <c r="D193" t="s">
        <v>137</v>
      </c>
      <c r="E193" t="s">
        <v>137</v>
      </c>
      <c r="G193" t="s">
        <v>137</v>
      </c>
      <c r="H193" t="s">
        <v>137</v>
      </c>
      <c r="I193" t="s">
        <v>137</v>
      </c>
      <c r="J193" t="s">
        <v>137</v>
      </c>
      <c r="K193" t="s">
        <v>137</v>
      </c>
    </row>
    <row r="194" spans="1:11" x14ac:dyDescent="0.25">
      <c r="A194" t="s">
        <v>137</v>
      </c>
      <c r="B194" t="s">
        <v>137</v>
      </c>
      <c r="C194" t="s">
        <v>137</v>
      </c>
      <c r="D194" t="s">
        <v>137</v>
      </c>
      <c r="E194" t="s">
        <v>137</v>
      </c>
      <c r="G194" t="s">
        <v>137</v>
      </c>
      <c r="H194" t="s">
        <v>137</v>
      </c>
      <c r="I194" t="s">
        <v>137</v>
      </c>
      <c r="J194" t="s">
        <v>137</v>
      </c>
      <c r="K194" t="s">
        <v>137</v>
      </c>
    </row>
    <row r="195" spans="1:11" x14ac:dyDescent="0.25">
      <c r="A195" t="s">
        <v>137</v>
      </c>
      <c r="B195" t="s">
        <v>137</v>
      </c>
      <c r="C195" t="s">
        <v>137</v>
      </c>
      <c r="D195" t="s">
        <v>137</v>
      </c>
      <c r="E195" t="s">
        <v>137</v>
      </c>
      <c r="G195" t="s">
        <v>137</v>
      </c>
      <c r="H195" t="s">
        <v>137</v>
      </c>
      <c r="I195" t="s">
        <v>137</v>
      </c>
      <c r="J195" t="s">
        <v>137</v>
      </c>
      <c r="K195" t="s">
        <v>137</v>
      </c>
    </row>
    <row r="196" spans="1:11" x14ac:dyDescent="0.25">
      <c r="A196" t="s">
        <v>137</v>
      </c>
      <c r="B196" t="s">
        <v>137</v>
      </c>
      <c r="C196" t="s">
        <v>137</v>
      </c>
      <c r="D196" t="s">
        <v>137</v>
      </c>
      <c r="E196" t="s">
        <v>137</v>
      </c>
      <c r="G196" t="s">
        <v>137</v>
      </c>
      <c r="H196" t="s">
        <v>137</v>
      </c>
      <c r="I196" t="s">
        <v>137</v>
      </c>
      <c r="J196" t="s">
        <v>137</v>
      </c>
      <c r="K196" t="s">
        <v>137</v>
      </c>
    </row>
    <row r="197" spans="1:11" x14ac:dyDescent="0.25">
      <c r="A197" t="s">
        <v>137</v>
      </c>
      <c r="B197" t="s">
        <v>137</v>
      </c>
      <c r="C197" t="s">
        <v>137</v>
      </c>
      <c r="D197" t="s">
        <v>137</v>
      </c>
      <c r="E197" t="s">
        <v>137</v>
      </c>
      <c r="G197" t="s">
        <v>137</v>
      </c>
      <c r="H197" t="s">
        <v>137</v>
      </c>
      <c r="I197" t="s">
        <v>137</v>
      </c>
      <c r="J197" t="s">
        <v>137</v>
      </c>
      <c r="K197" t="s">
        <v>137</v>
      </c>
    </row>
    <row r="198" spans="1:11" x14ac:dyDescent="0.25">
      <c r="A198" t="s">
        <v>137</v>
      </c>
      <c r="B198" t="s">
        <v>137</v>
      </c>
      <c r="C198" t="s">
        <v>137</v>
      </c>
      <c r="D198" t="s">
        <v>137</v>
      </c>
      <c r="E198" t="s">
        <v>137</v>
      </c>
      <c r="G198" t="s">
        <v>137</v>
      </c>
      <c r="H198" t="s">
        <v>137</v>
      </c>
      <c r="I198" t="s">
        <v>137</v>
      </c>
      <c r="J198" t="s">
        <v>137</v>
      </c>
      <c r="K198" t="s">
        <v>137</v>
      </c>
    </row>
    <row r="199" spans="1:11" x14ac:dyDescent="0.25">
      <c r="A199" t="s">
        <v>137</v>
      </c>
      <c r="B199" t="s">
        <v>137</v>
      </c>
      <c r="C199" t="s">
        <v>137</v>
      </c>
      <c r="D199" t="s">
        <v>137</v>
      </c>
      <c r="E199" t="s">
        <v>137</v>
      </c>
      <c r="G199" t="s">
        <v>137</v>
      </c>
      <c r="H199" t="s">
        <v>137</v>
      </c>
      <c r="I199" t="s">
        <v>137</v>
      </c>
      <c r="J199" t="s">
        <v>137</v>
      </c>
      <c r="K199" t="s">
        <v>137</v>
      </c>
    </row>
  </sheetData>
  <mergeCells count="12">
    <mergeCell ref="C7:D7"/>
    <mergeCell ref="C8:D8"/>
    <mergeCell ref="A10:B10"/>
    <mergeCell ref="D10:F10"/>
    <mergeCell ref="A47:F47"/>
    <mergeCell ref="G47:L47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8CE4-7AD2-4464-8DE4-AA0A132F9654}">
  <dimension ref="A1:L82"/>
  <sheetViews>
    <sheetView showGridLines="0" zoomScale="85" zoomScaleNormal="85" workbookViewId="0">
      <selection activeCell="F8" sqref="F8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/>
      <c r="C2" s="28"/>
      <c r="D2" s="20"/>
    </row>
    <row r="3" spans="1:6" x14ac:dyDescent="0.25">
      <c r="A3" s="1" t="s">
        <v>23</v>
      </c>
      <c r="B3" s="2"/>
      <c r="C3" s="19"/>
      <c r="D3" s="20"/>
    </row>
    <row r="4" spans="1:6" x14ac:dyDescent="0.25">
      <c r="A4" s="1" t="s">
        <v>24</v>
      </c>
      <c r="B4" s="2"/>
      <c r="C4" s="19"/>
      <c r="D4" s="20"/>
    </row>
    <row r="5" spans="1:6" x14ac:dyDescent="0.25">
      <c r="A5" s="1" t="s">
        <v>25</v>
      </c>
      <c r="B5" s="2"/>
      <c r="C5" s="19"/>
      <c r="D5" s="20"/>
    </row>
    <row r="6" spans="1:6" x14ac:dyDescent="0.25">
      <c r="A6" s="1" t="s">
        <v>26</v>
      </c>
      <c r="B6" s="2"/>
      <c r="C6" s="19"/>
      <c r="D6" s="20"/>
    </row>
    <row r="7" spans="1:6" x14ac:dyDescent="0.25">
      <c r="A7" s="1" t="s">
        <v>27</v>
      </c>
      <c r="B7" s="2"/>
      <c r="C7" s="19"/>
      <c r="D7" s="20"/>
    </row>
    <row r="8" spans="1:6" x14ac:dyDescent="0.25">
      <c r="A8" s="1" t="s">
        <v>18</v>
      </c>
      <c r="B8" s="2"/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46023</v>
      </c>
      <c r="B12" s="11"/>
      <c r="D12" s="4">
        <v>46023</v>
      </c>
      <c r="E12" s="6"/>
      <c r="F12" s="6"/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29</v>
      </c>
      <c r="B27" s="3" t="s">
        <v>34</v>
      </c>
      <c r="C27" s="3" t="s">
        <v>35</v>
      </c>
      <c r="D27" s="3" t="s">
        <v>36</v>
      </c>
      <c r="E27" s="3" t="s">
        <v>37</v>
      </c>
      <c r="F27" s="9"/>
      <c r="G27" s="9"/>
      <c r="H27" s="9"/>
    </row>
    <row r="28" spans="1:8" ht="15" customHeight="1" x14ac:dyDescent="0.25">
      <c r="A28" s="4">
        <v>45809</v>
      </c>
      <c r="B28" s="15"/>
      <c r="C28" s="16"/>
      <c r="D28" s="16"/>
      <c r="E28" s="16"/>
      <c r="F28" s="9"/>
      <c r="G28" s="9"/>
      <c r="H28" s="9"/>
    </row>
    <row r="29" spans="1:8" ht="15" customHeight="1" x14ac:dyDescent="0.25">
      <c r="A29" s="4">
        <v>45839</v>
      </c>
      <c r="B29" s="15"/>
      <c r="C29" s="16"/>
      <c r="D29" s="16"/>
      <c r="E29" s="16"/>
      <c r="F29" s="9"/>
      <c r="G29" s="9"/>
      <c r="H29" s="9"/>
    </row>
    <row r="30" spans="1:8" ht="15" customHeight="1" x14ac:dyDescent="0.25">
      <c r="A30" s="4">
        <v>45870</v>
      </c>
      <c r="B30" s="15"/>
      <c r="C30" s="16"/>
      <c r="D30" s="16"/>
      <c r="E30" s="16"/>
      <c r="F30" s="9"/>
      <c r="G30" s="9"/>
      <c r="H30" s="9"/>
    </row>
    <row r="31" spans="1:8" ht="15" customHeight="1" x14ac:dyDescent="0.25">
      <c r="A31" s="4">
        <v>45901</v>
      </c>
      <c r="B31" s="15"/>
      <c r="C31" s="16"/>
      <c r="D31" s="16"/>
      <c r="E31" s="16"/>
      <c r="F31" s="9"/>
      <c r="G31" s="9"/>
      <c r="H31" s="9"/>
    </row>
    <row r="32" spans="1:8" ht="15" customHeight="1" x14ac:dyDescent="0.25">
      <c r="A32" s="4">
        <v>45931</v>
      </c>
      <c r="B32" s="15"/>
      <c r="C32" s="16"/>
      <c r="D32" s="16"/>
      <c r="E32" s="16"/>
      <c r="F32" s="9"/>
      <c r="G32" s="9"/>
      <c r="H32" s="9"/>
    </row>
    <row r="33" spans="1:12" ht="15" customHeight="1" x14ac:dyDescent="0.25">
      <c r="A33" s="4">
        <v>45962</v>
      </c>
      <c r="B33" s="15"/>
      <c r="C33" s="16"/>
      <c r="D33" s="16"/>
      <c r="E33" s="16"/>
      <c r="F33" s="9"/>
      <c r="G33" s="9"/>
      <c r="H33" s="9"/>
    </row>
    <row r="34" spans="1:12" ht="15" customHeight="1" x14ac:dyDescent="0.25">
      <c r="A34" s="4">
        <v>45992</v>
      </c>
      <c r="B34" s="15"/>
      <c r="C34" s="16"/>
      <c r="D34" s="16"/>
      <c r="E34" s="16"/>
      <c r="F34" s="9"/>
      <c r="G34" s="9"/>
      <c r="H34" s="9"/>
    </row>
    <row r="35" spans="1:12" ht="15" customHeight="1" x14ac:dyDescent="0.25">
      <c r="A35" s="4">
        <v>46023</v>
      </c>
      <c r="B35" s="15"/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46054</v>
      </c>
      <c r="B36" s="15"/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46082</v>
      </c>
      <c r="B37" s="15"/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46113</v>
      </c>
      <c r="B38" s="15"/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46143</v>
      </c>
      <c r="B39" s="15"/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46174</v>
      </c>
      <c r="B40" s="15"/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46204</v>
      </c>
      <c r="B41" s="15"/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46235</v>
      </c>
      <c r="B42" s="15"/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46266</v>
      </c>
      <c r="B43" s="15"/>
      <c r="C43" s="16"/>
      <c r="D43" s="16"/>
      <c r="E43" s="16"/>
      <c r="F43" s="9"/>
      <c r="G43" s="9"/>
      <c r="H43" s="9"/>
    </row>
    <row r="45" spans="1:12" ht="15" customHeight="1" x14ac:dyDescent="0.25">
      <c r="A45" s="8" t="s">
        <v>38</v>
      </c>
    </row>
    <row r="46" spans="1:12" ht="15.75" x14ac:dyDescent="0.25">
      <c r="A46" s="23" t="s">
        <v>39</v>
      </c>
      <c r="B46" s="24"/>
      <c r="C46" s="24"/>
      <c r="D46" s="24"/>
      <c r="E46" s="24"/>
      <c r="F46" s="25"/>
      <c r="G46" s="26" t="s">
        <v>40</v>
      </c>
      <c r="H46" s="27"/>
      <c r="I46" s="27"/>
      <c r="J46" s="27"/>
      <c r="K46" s="27"/>
      <c r="L46" s="27"/>
    </row>
    <row r="47" spans="1:12" ht="25.5" x14ac:dyDescent="0.25">
      <c r="A47" s="3" t="s">
        <v>41</v>
      </c>
      <c r="B47" s="3" t="s">
        <v>42</v>
      </c>
      <c r="C47" s="3" t="s">
        <v>43</v>
      </c>
      <c r="D47" s="3" t="s">
        <v>44</v>
      </c>
      <c r="E47" s="3" t="s">
        <v>45</v>
      </c>
      <c r="F47" s="3" t="s">
        <v>46</v>
      </c>
      <c r="G47" s="3" t="s">
        <v>41</v>
      </c>
      <c r="H47" s="3" t="s">
        <v>42</v>
      </c>
      <c r="I47" s="3" t="s">
        <v>43</v>
      </c>
      <c r="J47" s="3" t="s">
        <v>44</v>
      </c>
      <c r="K47" s="3" t="s">
        <v>45</v>
      </c>
      <c r="L47" s="3" t="s">
        <v>46</v>
      </c>
    </row>
    <row r="48" spans="1:12" x14ac:dyDescent="0.25">
      <c r="A48" s="7" t="s">
        <v>47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0">D48-C48</f>
        <v>505220.25128706032</v>
      </c>
      <c r="F48" s="6"/>
      <c r="G48" s="7" t="s">
        <v>48</v>
      </c>
      <c r="H48" s="6">
        <v>1101312</v>
      </c>
      <c r="I48" s="6">
        <v>1210536.6124694173</v>
      </c>
      <c r="J48" s="6">
        <v>533173.59053115034</v>
      </c>
      <c r="K48" s="6">
        <f t="shared" ref="K48:K82" si="1">J48-I48</f>
        <v>-677363.02193826693</v>
      </c>
      <c r="L48" s="6"/>
    </row>
    <row r="49" spans="1:12" x14ac:dyDescent="0.25">
      <c r="A49" s="7" t="s">
        <v>49</v>
      </c>
      <c r="B49" s="6">
        <v>787917.97424137034</v>
      </c>
      <c r="C49" s="6">
        <v>865103.87747254525</v>
      </c>
      <c r="D49" s="6">
        <v>1325255.8654901136</v>
      </c>
      <c r="E49" s="6">
        <f t="shared" si="0"/>
        <v>460151.98801756836</v>
      </c>
      <c r="F49" s="6"/>
      <c r="G49" s="7" t="s">
        <v>50</v>
      </c>
      <c r="H49" s="6">
        <v>403562.30499999999</v>
      </c>
      <c r="I49" s="6">
        <v>443072.80328695953</v>
      </c>
      <c r="J49" s="6">
        <v>38000</v>
      </c>
      <c r="K49" s="6">
        <f t="shared" si="1"/>
        <v>-405072.80328695953</v>
      </c>
      <c r="L49" s="6"/>
    </row>
    <row r="50" spans="1:12" x14ac:dyDescent="0.25">
      <c r="A50" s="7" t="s">
        <v>51</v>
      </c>
      <c r="B50" s="6">
        <v>1081269.0394285447</v>
      </c>
      <c r="C50" s="6">
        <v>1180224.1933234031</v>
      </c>
      <c r="D50" s="6">
        <v>1575361.2945652129</v>
      </c>
      <c r="E50" s="6">
        <f t="shared" si="0"/>
        <v>395137.10124180978</v>
      </c>
      <c r="F50" s="6"/>
      <c r="G50" s="7" t="s">
        <v>52</v>
      </c>
      <c r="H50" s="6">
        <v>1036308.4188272201</v>
      </c>
      <c r="I50" s="6">
        <v>1118067.7117323838</v>
      </c>
      <c r="J50" s="6">
        <v>751528.91999999981</v>
      </c>
      <c r="K50" s="6">
        <f t="shared" si="1"/>
        <v>-366538.79173238401</v>
      </c>
      <c r="L50" s="6"/>
    </row>
    <row r="51" spans="1:12" x14ac:dyDescent="0.25">
      <c r="A51" s="7" t="s">
        <v>53</v>
      </c>
      <c r="B51" s="6">
        <v>250122.70634257342</v>
      </c>
      <c r="C51" s="6">
        <v>265372.60115608358</v>
      </c>
      <c r="D51" s="6">
        <v>595980.34900000005</v>
      </c>
      <c r="E51" s="6">
        <f t="shared" si="0"/>
        <v>330607.74784391647</v>
      </c>
      <c r="F51" s="6"/>
      <c r="G51" s="7" t="s">
        <v>54</v>
      </c>
      <c r="H51" s="6">
        <v>6552768.188609994</v>
      </c>
      <c r="I51" s="6">
        <v>7195275.1540455455</v>
      </c>
      <c r="J51" s="6">
        <v>6979643.0849913238</v>
      </c>
      <c r="K51" s="6">
        <f t="shared" si="1"/>
        <v>-215632.06905422173</v>
      </c>
      <c r="L51" s="6"/>
    </row>
    <row r="52" spans="1:12" x14ac:dyDescent="0.25">
      <c r="A52" s="7" t="s">
        <v>55</v>
      </c>
      <c r="B52" s="6">
        <v>1047250.9327280399</v>
      </c>
      <c r="C52" s="6">
        <v>1146718.0595562137</v>
      </c>
      <c r="D52" s="6">
        <v>1402124.0727673639</v>
      </c>
      <c r="E52" s="6">
        <f t="shared" si="0"/>
        <v>255406.01321115019</v>
      </c>
      <c r="F52" s="6"/>
      <c r="G52" s="7" t="s">
        <v>56</v>
      </c>
      <c r="H52" s="6">
        <v>2281769.9259050437</v>
      </c>
      <c r="I52" s="6">
        <v>2510358.2682443662</v>
      </c>
      <c r="J52" s="6">
        <v>2379797.2632925045</v>
      </c>
      <c r="K52" s="6">
        <f t="shared" si="1"/>
        <v>-130561.00495186169</v>
      </c>
      <c r="L52" s="6"/>
    </row>
    <row r="53" spans="1:12" x14ac:dyDescent="0.25">
      <c r="A53" s="7" t="s">
        <v>57</v>
      </c>
      <c r="B53" s="6">
        <v>189595.55537503742</v>
      </c>
      <c r="C53" s="6">
        <v>208416.6173458405</v>
      </c>
      <c r="D53" s="6">
        <v>333578.6578235419</v>
      </c>
      <c r="E53" s="6">
        <f t="shared" si="0"/>
        <v>125162.0404777014</v>
      </c>
      <c r="F53" s="6"/>
      <c r="G53" s="7" t="s">
        <v>58</v>
      </c>
      <c r="H53" s="6">
        <v>120468.97134808052</v>
      </c>
      <c r="I53" s="6">
        <v>132557.10971606863</v>
      </c>
      <c r="J53" s="6">
        <v>20969.447752317341</v>
      </c>
      <c r="K53" s="6">
        <f t="shared" si="1"/>
        <v>-111587.66196375129</v>
      </c>
      <c r="L53" s="6"/>
    </row>
    <row r="54" spans="1:12" x14ac:dyDescent="0.25">
      <c r="A54" s="7" t="s">
        <v>59</v>
      </c>
      <c r="B54" s="6">
        <v>35576.962500000001</v>
      </c>
      <c r="C54" s="6">
        <v>37531.593955946548</v>
      </c>
      <c r="D54" s="6">
        <v>152743.4745762712</v>
      </c>
      <c r="E54" s="6">
        <f t="shared" si="0"/>
        <v>115211.88062032465</v>
      </c>
      <c r="F54" s="6"/>
      <c r="G54" s="7" t="s">
        <v>60</v>
      </c>
      <c r="H54" s="6">
        <v>185998.57226161737</v>
      </c>
      <c r="I54" s="6">
        <v>204299.65945951885</v>
      </c>
      <c r="J54" s="6">
        <v>94776.724043233306</v>
      </c>
      <c r="K54" s="6">
        <f t="shared" si="1"/>
        <v>-109522.93541628555</v>
      </c>
      <c r="L54" s="6"/>
    </row>
    <row r="55" spans="1:12" x14ac:dyDescent="0.25">
      <c r="A55" s="7" t="s">
        <v>61</v>
      </c>
      <c r="B55" s="6">
        <v>269218.88064693363</v>
      </c>
      <c r="C55" s="6">
        <v>296070.49249754817</v>
      </c>
      <c r="D55" s="6">
        <v>410512.39612769004</v>
      </c>
      <c r="E55" s="6">
        <f t="shared" si="0"/>
        <v>114441.90363014187</v>
      </c>
      <c r="F55" s="6"/>
      <c r="G55" s="7" t="s">
        <v>62</v>
      </c>
      <c r="H55" s="6">
        <v>604831.16726196418</v>
      </c>
      <c r="I55" s="6">
        <v>652420.25918788638</v>
      </c>
      <c r="J55" s="6">
        <v>586020.30520370253</v>
      </c>
      <c r="K55" s="6">
        <f t="shared" si="1"/>
        <v>-66399.953984183841</v>
      </c>
      <c r="L55" s="6"/>
    </row>
    <row r="56" spans="1:12" x14ac:dyDescent="0.25">
      <c r="A56" s="7" t="s">
        <v>63</v>
      </c>
      <c r="B56" s="6">
        <v>2275680</v>
      </c>
      <c r="C56" s="6">
        <v>2501909.6648655371</v>
      </c>
      <c r="D56" s="6">
        <v>2599681.689378371</v>
      </c>
      <c r="E56" s="6">
        <f t="shared" si="0"/>
        <v>97772.024512833916</v>
      </c>
      <c r="F56" s="6"/>
      <c r="G56" s="7" t="s">
        <v>64</v>
      </c>
      <c r="H56" s="6">
        <v>80220.992928192107</v>
      </c>
      <c r="I56" s="6">
        <v>87925.838322273572</v>
      </c>
      <c r="J56" s="6">
        <v>25430.606402661393</v>
      </c>
      <c r="K56" s="6">
        <f t="shared" si="1"/>
        <v>-62495.231919612183</v>
      </c>
      <c r="L56" s="6"/>
    </row>
    <row r="57" spans="1:12" x14ac:dyDescent="0.25">
      <c r="A57" s="7" t="s">
        <v>65</v>
      </c>
      <c r="B57" s="6">
        <v>57252.814142904615</v>
      </c>
      <c r="C57" s="6">
        <v>62997.695431186396</v>
      </c>
      <c r="D57" s="6">
        <v>158776.37321059153</v>
      </c>
      <c r="E57" s="6">
        <f t="shared" si="0"/>
        <v>95778.67777940513</v>
      </c>
      <c r="F57" s="6"/>
      <c r="G57" s="7" t="s">
        <v>66</v>
      </c>
      <c r="H57" s="6">
        <v>248668.76290445638</v>
      </c>
      <c r="I57" s="6">
        <v>272033.68041880854</v>
      </c>
      <c r="J57" s="6">
        <v>217057.60693628585</v>
      </c>
      <c r="K57" s="6">
        <f t="shared" si="1"/>
        <v>-54976.073482522683</v>
      </c>
      <c r="L57" s="6"/>
    </row>
    <row r="58" spans="1:12" x14ac:dyDescent="0.25">
      <c r="A58" s="7" t="s">
        <v>67</v>
      </c>
      <c r="B58" s="6">
        <v>107826.33696189984</v>
      </c>
      <c r="C58" s="6">
        <v>118611.83348175029</v>
      </c>
      <c r="D58" s="6">
        <v>207987.21348175028</v>
      </c>
      <c r="E58" s="6">
        <f t="shared" si="0"/>
        <v>89375.37999999999</v>
      </c>
      <c r="F58" s="6"/>
      <c r="G58" s="7" t="s">
        <v>68</v>
      </c>
      <c r="H58" s="6">
        <v>47400</v>
      </c>
      <c r="I58" s="6">
        <v>52156.226870959872</v>
      </c>
      <c r="J58" s="6">
        <v>0</v>
      </c>
      <c r="K58" s="6">
        <f t="shared" si="1"/>
        <v>-52156.226870959872</v>
      </c>
      <c r="L58" s="6"/>
    </row>
    <row r="59" spans="1:12" x14ac:dyDescent="0.25">
      <c r="A59" s="7" t="s">
        <v>69</v>
      </c>
      <c r="B59" s="6">
        <v>375221.55324750004</v>
      </c>
      <c r="C59" s="6">
        <v>408621.10441633413</v>
      </c>
      <c r="D59" s="6">
        <v>487685.09721314698</v>
      </c>
      <c r="E59" s="6">
        <f t="shared" si="0"/>
        <v>79063.992796812847</v>
      </c>
      <c r="F59" s="6"/>
      <c r="G59" s="7" t="s">
        <v>70</v>
      </c>
      <c r="H59" s="6">
        <v>323000</v>
      </c>
      <c r="I59" s="6">
        <v>354939.64977887005</v>
      </c>
      <c r="J59" s="6">
        <v>305485.09274884663</v>
      </c>
      <c r="K59" s="6">
        <f t="shared" si="1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0"/>
        <v>73379.11940467963</v>
      </c>
      <c r="F60" s="6"/>
      <c r="G60" s="7" t="s">
        <v>72</v>
      </c>
      <c r="H60" s="6">
        <v>44902.619999999995</v>
      </c>
      <c r="I60" s="6">
        <v>49408.253920263705</v>
      </c>
      <c r="J60" s="6">
        <v>0</v>
      </c>
      <c r="K60" s="6">
        <f t="shared" si="1"/>
        <v>-49408.253920263705</v>
      </c>
      <c r="L60" s="6"/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0"/>
        <v>67405.212924658787</v>
      </c>
      <c r="F61" s="6"/>
      <c r="G61" s="7" t="s">
        <v>74</v>
      </c>
      <c r="H61" s="6">
        <v>53834.780352640009</v>
      </c>
      <c r="I61" s="6">
        <v>59225.322341151899</v>
      </c>
      <c r="J61" s="6">
        <v>21171.357934263768</v>
      </c>
      <c r="K61" s="6">
        <f t="shared" si="1"/>
        <v>-38053.964406888132</v>
      </c>
      <c r="L61" s="6"/>
    </row>
    <row r="62" spans="1:12" x14ac:dyDescent="0.25">
      <c r="A62" s="7" t="s">
        <v>75</v>
      </c>
      <c r="B62" s="6">
        <v>632186.92102385126</v>
      </c>
      <c r="C62" s="6">
        <v>694336.65689924359</v>
      </c>
      <c r="D62" s="6">
        <v>757558.8628992436</v>
      </c>
      <c r="E62" s="6">
        <f t="shared" si="0"/>
        <v>63222.206000000006</v>
      </c>
      <c r="F62" s="6"/>
      <c r="G62" s="7" t="s">
        <v>76</v>
      </c>
      <c r="H62" s="6">
        <v>5441345.7542000003</v>
      </c>
      <c r="I62" s="6">
        <v>5962535.341289294</v>
      </c>
      <c r="J62" s="6">
        <v>5925790.8540378427</v>
      </c>
      <c r="K62" s="6">
        <f t="shared" si="1"/>
        <v>-36744.487251451239</v>
      </c>
      <c r="L62" s="6"/>
    </row>
    <row r="63" spans="1:12" x14ac:dyDescent="0.25">
      <c r="A63" s="7" t="s">
        <v>77</v>
      </c>
      <c r="B63" s="6">
        <v>83429.153030534027</v>
      </c>
      <c r="C63" s="6">
        <v>87642.37777688996</v>
      </c>
      <c r="D63" s="6">
        <v>145298.356</v>
      </c>
      <c r="E63" s="6">
        <f t="shared" si="0"/>
        <v>57655.97822311004</v>
      </c>
      <c r="F63" s="6"/>
      <c r="G63" s="7" t="s">
        <v>78</v>
      </c>
      <c r="H63" s="6">
        <v>233600</v>
      </c>
      <c r="I63" s="6">
        <v>256894.32588197562</v>
      </c>
      <c r="J63" s="6">
        <v>222076.63375866329</v>
      </c>
      <c r="K63" s="6">
        <f t="shared" si="1"/>
        <v>-34817.692123312328</v>
      </c>
      <c r="L63" s="6"/>
    </row>
    <row r="64" spans="1:12" x14ac:dyDescent="0.25">
      <c r="A64" s="7" t="s">
        <v>79</v>
      </c>
      <c r="B64" s="6">
        <v>2215133.855</v>
      </c>
      <c r="C64" s="6">
        <v>2437361.9630886614</v>
      </c>
      <c r="D64" s="6">
        <v>2483861.9630886614</v>
      </c>
      <c r="E64" s="6">
        <f t="shared" si="0"/>
        <v>46500</v>
      </c>
      <c r="F64" s="6"/>
      <c r="G64" s="7" t="s">
        <v>80</v>
      </c>
      <c r="H64" s="6">
        <v>47400</v>
      </c>
      <c r="I64" s="6">
        <v>52074.601313139894</v>
      </c>
      <c r="J64" s="6">
        <v>17801.34</v>
      </c>
      <c r="K64" s="6">
        <f t="shared" si="1"/>
        <v>-34273.261313139898</v>
      </c>
      <c r="L64" s="6"/>
    </row>
    <row r="65" spans="1:12" x14ac:dyDescent="0.25">
      <c r="A65" s="7" t="s">
        <v>81</v>
      </c>
      <c r="B65" s="6">
        <v>10819.4375</v>
      </c>
      <c r="C65" s="6">
        <v>11746.223671956868</v>
      </c>
      <c r="D65" s="6">
        <v>57845.723506970426</v>
      </c>
      <c r="E65" s="6">
        <f t="shared" si="0"/>
        <v>46099.499835013557</v>
      </c>
      <c r="F65" s="6"/>
      <c r="G65" s="7" t="s">
        <v>82</v>
      </c>
      <c r="H65" s="6">
        <v>650000.02933333337</v>
      </c>
      <c r="I65" s="6">
        <v>713899.37372633582</v>
      </c>
      <c r="J65" s="6">
        <v>682129.99926643865</v>
      </c>
      <c r="K65" s="6">
        <f t="shared" si="1"/>
        <v>-31769.374459897168</v>
      </c>
      <c r="L65" s="6"/>
    </row>
    <row r="66" spans="1:12" x14ac:dyDescent="0.25">
      <c r="A66" s="7" t="s">
        <v>83</v>
      </c>
      <c r="B66" s="6">
        <v>522720</v>
      </c>
      <c r="C66" s="6">
        <v>574204.25532855326</v>
      </c>
      <c r="D66" s="6">
        <v>615351.79254456575</v>
      </c>
      <c r="E66" s="6">
        <f t="shared" si="0"/>
        <v>41147.537216012483</v>
      </c>
      <c r="F66" s="6"/>
      <c r="G66" s="7" t="s">
        <v>84</v>
      </c>
      <c r="H66" s="6">
        <v>16719.925000000003</v>
      </c>
      <c r="I66" s="6">
        <v>18397.641383237002</v>
      </c>
      <c r="J66" s="6">
        <v>0</v>
      </c>
      <c r="K66" s="6">
        <f t="shared" si="1"/>
        <v>-18397.641383237002</v>
      </c>
      <c r="L66" s="6"/>
    </row>
    <row r="67" spans="1:12" x14ac:dyDescent="0.25">
      <c r="A67" s="7" t="s">
        <v>85</v>
      </c>
      <c r="B67" s="6">
        <v>384590.41845262051</v>
      </c>
      <c r="C67" s="6">
        <v>423181.12061629252</v>
      </c>
      <c r="D67" s="6">
        <v>463935.39261629252</v>
      </c>
      <c r="E67" s="6">
        <f t="shared" si="0"/>
        <v>40754.271999999997</v>
      </c>
      <c r="F67" s="6"/>
      <c r="G67" s="7" t="s">
        <v>86</v>
      </c>
      <c r="H67" s="6">
        <v>245360</v>
      </c>
      <c r="I67" s="6">
        <v>269418.21170744422</v>
      </c>
      <c r="J67" s="6">
        <v>252978.05884730394</v>
      </c>
      <c r="K67" s="6">
        <f t="shared" si="1"/>
        <v>-16440.152860140282</v>
      </c>
      <c r="L67" s="6"/>
    </row>
    <row r="68" spans="1:12" x14ac:dyDescent="0.25">
      <c r="A68" s="7" t="s">
        <v>87</v>
      </c>
      <c r="B68" s="6">
        <v>250000</v>
      </c>
      <c r="C68" s="6">
        <v>258670.94652034686</v>
      </c>
      <c r="D68" s="6">
        <v>281709.36</v>
      </c>
      <c r="E68" s="6">
        <f t="shared" si="0"/>
        <v>23038.413479653129</v>
      </c>
      <c r="F68" s="6"/>
      <c r="G68" s="7" t="s">
        <v>88</v>
      </c>
      <c r="H68" s="6">
        <v>26100</v>
      </c>
      <c r="I68" s="6">
        <v>28496.159208931313</v>
      </c>
      <c r="J68" s="6">
        <v>12192.85</v>
      </c>
      <c r="K68" s="6">
        <f t="shared" si="1"/>
        <v>-16303.309208931312</v>
      </c>
      <c r="L68" s="6"/>
    </row>
    <row r="69" spans="1:12" x14ac:dyDescent="0.25">
      <c r="A69" s="7" t="s">
        <v>89</v>
      </c>
      <c r="B69" s="6">
        <v>52787.786047755486</v>
      </c>
      <c r="C69" s="6">
        <v>58084.635973046934</v>
      </c>
      <c r="D69" s="6">
        <v>77678.225973046923</v>
      </c>
      <c r="E69" s="6">
        <f t="shared" si="0"/>
        <v>19593.589999999989</v>
      </c>
      <c r="F69" s="6"/>
      <c r="G69" s="7" t="s">
        <v>90</v>
      </c>
      <c r="H69" s="6">
        <v>379507.65</v>
      </c>
      <c r="I69" s="6">
        <v>416024.08795748133</v>
      </c>
      <c r="J69" s="6">
        <v>400158.23616089963</v>
      </c>
      <c r="K69" s="6">
        <f t="shared" si="1"/>
        <v>-15865.851796581701</v>
      </c>
      <c r="L69" s="6"/>
    </row>
    <row r="70" spans="1:12" x14ac:dyDescent="0.25">
      <c r="A70" s="7" t="s">
        <v>91</v>
      </c>
      <c r="B70" s="6">
        <v>400765.48</v>
      </c>
      <c r="C70" s="6">
        <v>439474.50785192783</v>
      </c>
      <c r="D70" s="6">
        <v>457993.70436862484</v>
      </c>
      <c r="E70" s="6">
        <f t="shared" si="0"/>
        <v>18519.196516697004</v>
      </c>
      <c r="F70" s="6"/>
      <c r="G70" s="7" t="s">
        <v>92</v>
      </c>
      <c r="H70" s="6">
        <v>90222.908418788778</v>
      </c>
      <c r="I70" s="6">
        <v>96636.264678799052</v>
      </c>
      <c r="J70" s="6">
        <v>85001.203459137629</v>
      </c>
      <c r="K70" s="6">
        <f t="shared" si="1"/>
        <v>-11635.061219661424</v>
      </c>
      <c r="L70" s="6"/>
    </row>
    <row r="71" spans="1:12" x14ac:dyDescent="0.25">
      <c r="A71" s="7" t="s">
        <v>93</v>
      </c>
      <c r="B71" s="6">
        <v>351700</v>
      </c>
      <c r="C71" s="6">
        <v>385920.15217851364</v>
      </c>
      <c r="D71" s="6">
        <v>401516.94060296775</v>
      </c>
      <c r="E71" s="6">
        <f t="shared" si="0"/>
        <v>15596.788424454106</v>
      </c>
      <c r="F71" s="6"/>
      <c r="G71" s="7" t="s">
        <v>94</v>
      </c>
      <c r="H71" s="6">
        <v>11403.052082228009</v>
      </c>
      <c r="I71" s="6">
        <v>12443.789295922272</v>
      </c>
      <c r="J71" s="6">
        <v>2500</v>
      </c>
      <c r="K71" s="6">
        <f t="shared" si="1"/>
        <v>-9943.7892959222718</v>
      </c>
      <c r="L71" s="6"/>
    </row>
    <row r="72" spans="1:12" ht="30" x14ac:dyDescent="0.25">
      <c r="A72" s="7" t="s">
        <v>95</v>
      </c>
      <c r="B72" s="6">
        <v>75836.522803676606</v>
      </c>
      <c r="C72" s="6">
        <v>83446.136887199988</v>
      </c>
      <c r="D72" s="6">
        <v>90532.932887199975</v>
      </c>
      <c r="E72" s="6">
        <f t="shared" si="0"/>
        <v>7086.7959999999875</v>
      </c>
      <c r="F72" s="6"/>
      <c r="G72" s="7" t="s">
        <v>96</v>
      </c>
      <c r="H72" s="6">
        <v>3600</v>
      </c>
      <c r="I72" s="6">
        <v>3961.2324205792306</v>
      </c>
      <c r="J72" s="6">
        <v>0</v>
      </c>
      <c r="K72" s="6">
        <f t="shared" si="1"/>
        <v>-3961.2324205792306</v>
      </c>
      <c r="L72" s="6"/>
    </row>
    <row r="73" spans="1:12" x14ac:dyDescent="0.25">
      <c r="A73" s="7" t="s">
        <v>97</v>
      </c>
      <c r="B73" s="6">
        <v>1288479.01</v>
      </c>
      <c r="C73" s="6">
        <v>1417768.0076799537</v>
      </c>
      <c r="D73" s="6">
        <v>1423409.2376799537</v>
      </c>
      <c r="E73" s="6">
        <f t="shared" si="0"/>
        <v>5641.2299999999814</v>
      </c>
      <c r="F73" s="6"/>
      <c r="G73" s="7" t="s">
        <v>98</v>
      </c>
      <c r="H73" s="6">
        <v>29550.53354690081</v>
      </c>
      <c r="I73" s="6">
        <v>32515.204598170272</v>
      </c>
      <c r="J73" s="6">
        <v>29009.887637604497</v>
      </c>
      <c r="K73" s="6">
        <f t="shared" si="1"/>
        <v>-3505.3169605657749</v>
      </c>
      <c r="L73" s="6"/>
    </row>
    <row r="74" spans="1:12" x14ac:dyDescent="0.25">
      <c r="A74" s="7" t="s">
        <v>99</v>
      </c>
      <c r="B74" s="6">
        <v>69401.564133824344</v>
      </c>
      <c r="C74" s="6">
        <v>76347.999948027136</v>
      </c>
      <c r="D74" s="6">
        <v>81865.739948027127</v>
      </c>
      <c r="E74" s="6">
        <f t="shared" si="0"/>
        <v>5517.7399999999907</v>
      </c>
      <c r="F74" s="6"/>
      <c r="G74" s="7" t="s">
        <v>100</v>
      </c>
      <c r="H74" s="6">
        <v>101074.42118806772</v>
      </c>
      <c r="I74" s="6">
        <v>111216.46502818173</v>
      </c>
      <c r="J74" s="6">
        <v>108757.64962313166</v>
      </c>
      <c r="K74" s="6">
        <f t="shared" si="1"/>
        <v>-2458.8154050500743</v>
      </c>
      <c r="L74" s="6"/>
    </row>
    <row r="75" spans="1:12" x14ac:dyDescent="0.25">
      <c r="A75" s="7" t="s">
        <v>101</v>
      </c>
      <c r="B75" s="6">
        <v>25747.928568365201</v>
      </c>
      <c r="C75" s="6">
        <v>28287.134418739417</v>
      </c>
      <c r="D75" s="6">
        <v>32143.734751860236</v>
      </c>
      <c r="E75" s="6">
        <f t="shared" si="0"/>
        <v>3856.6003331208194</v>
      </c>
      <c r="F75" s="6"/>
      <c r="G75" s="7" t="s">
        <v>102</v>
      </c>
      <c r="H75" s="6">
        <v>17815.142836013587</v>
      </c>
      <c r="I75" s="6">
        <v>19602.755938685234</v>
      </c>
      <c r="J75" s="6">
        <v>17858.41959306084</v>
      </c>
      <c r="K75" s="6">
        <f t="shared" si="1"/>
        <v>-1744.3363456243933</v>
      </c>
      <c r="L75" s="6"/>
    </row>
    <row r="76" spans="1:12" x14ac:dyDescent="0.25">
      <c r="A76" s="7" t="s">
        <v>103</v>
      </c>
      <c r="B76" s="6">
        <v>1335561.9885516798</v>
      </c>
      <c r="C76" s="6">
        <v>1469098.643101532</v>
      </c>
      <c r="D76" s="6">
        <v>1472298.643101532</v>
      </c>
      <c r="E76" s="6">
        <f t="shared" si="0"/>
        <v>3200</v>
      </c>
      <c r="F76" s="6"/>
      <c r="G76" s="7" t="s">
        <v>104</v>
      </c>
      <c r="H76" s="6">
        <v>40840.894970129266</v>
      </c>
      <c r="I76" s="6">
        <v>44938.96590031869</v>
      </c>
      <c r="J76" s="6">
        <v>43629.69394239071</v>
      </c>
      <c r="K76" s="6">
        <f t="shared" si="1"/>
        <v>-1309.2719579279801</v>
      </c>
      <c r="L76" s="6"/>
    </row>
    <row r="77" spans="1:12" x14ac:dyDescent="0.25">
      <c r="A77" s="7" t="s">
        <v>105</v>
      </c>
      <c r="B77" s="6">
        <v>47400</v>
      </c>
      <c r="C77" s="6">
        <v>52147.935404396259</v>
      </c>
      <c r="D77" s="6">
        <v>54956.226870959872</v>
      </c>
      <c r="E77" s="6">
        <f t="shared" si="0"/>
        <v>2808.2914665636126</v>
      </c>
      <c r="F77" s="6"/>
      <c r="G77" s="7" t="s">
        <v>106</v>
      </c>
      <c r="H77" s="6">
        <v>3994.042474296928</v>
      </c>
      <c r="I77" s="6">
        <v>4394.8140384320786</v>
      </c>
      <c r="J77" s="6">
        <v>4009.2261092732724</v>
      </c>
      <c r="K77" s="6">
        <f t="shared" si="1"/>
        <v>-385.58792915880622</v>
      </c>
      <c r="L77" s="6"/>
    </row>
    <row r="78" spans="1:12" x14ac:dyDescent="0.25">
      <c r="A78" s="7" t="s">
        <v>107</v>
      </c>
      <c r="B78" s="6">
        <v>41837.040000000001</v>
      </c>
      <c r="C78" s="6">
        <v>46035.066452519481</v>
      </c>
      <c r="D78" s="6">
        <v>47172.816452519481</v>
      </c>
      <c r="E78" s="6">
        <f t="shared" si="0"/>
        <v>1137.75</v>
      </c>
      <c r="F78" s="6"/>
      <c r="G78" s="7" t="s">
        <v>108</v>
      </c>
      <c r="H78" s="6">
        <v>163896.06145440001</v>
      </c>
      <c r="I78" s="6">
        <v>180341.77562178206</v>
      </c>
      <c r="J78" s="6">
        <v>180057.82562178205</v>
      </c>
      <c r="K78" s="6">
        <f t="shared" si="1"/>
        <v>-283.95000000001164</v>
      </c>
      <c r="L78" s="6"/>
    </row>
    <row r="79" spans="1:12" x14ac:dyDescent="0.25">
      <c r="A79" s="7" t="s">
        <v>109</v>
      </c>
      <c r="B79" s="6">
        <v>176569.91140400001</v>
      </c>
      <c r="C79" s="6">
        <v>194287.34932009096</v>
      </c>
      <c r="D79" s="6">
        <v>195117.77932009095</v>
      </c>
      <c r="E79" s="6">
        <f t="shared" si="0"/>
        <v>830.42999999999302</v>
      </c>
      <c r="F79" s="6"/>
      <c r="G79" s="7" t="s">
        <v>110</v>
      </c>
      <c r="H79" s="6">
        <v>24084.091797531873</v>
      </c>
      <c r="I79" s="6">
        <v>26500.745902386003</v>
      </c>
      <c r="J79" s="6">
        <v>26265.328378057136</v>
      </c>
      <c r="K79" s="6">
        <f t="shared" si="1"/>
        <v>-235.41752432886642</v>
      </c>
      <c r="L79" s="6"/>
    </row>
    <row r="80" spans="1:12" x14ac:dyDescent="0.25">
      <c r="A80" s="7" t="s">
        <v>111</v>
      </c>
      <c r="B80" s="6">
        <v>1818749.1038897291</v>
      </c>
      <c r="C80" s="6">
        <v>2001244.0463697994</v>
      </c>
      <c r="D80" s="6">
        <v>2001805.8431187263</v>
      </c>
      <c r="E80" s="6">
        <f t="shared" si="0"/>
        <v>561.79674892686307</v>
      </c>
      <c r="F80" s="6"/>
      <c r="G80" s="7" t="s">
        <v>112</v>
      </c>
      <c r="H80" s="6">
        <v>8420.2799999999988</v>
      </c>
      <c r="I80" s="6">
        <v>9265.190590654136</v>
      </c>
      <c r="J80" s="6">
        <v>9265.190590654136</v>
      </c>
      <c r="K80" s="6">
        <f t="shared" si="1"/>
        <v>0</v>
      </c>
      <c r="L80" s="6"/>
    </row>
    <row r="81" spans="1:12" x14ac:dyDescent="0.25">
      <c r="A81" s="7" t="s">
        <v>113</v>
      </c>
      <c r="B81" s="6">
        <v>220000</v>
      </c>
      <c r="C81" s="6">
        <v>241952.54893491842</v>
      </c>
      <c r="D81" s="6">
        <v>242369.70315291287</v>
      </c>
      <c r="E81" s="6">
        <f t="shared" si="0"/>
        <v>417.15421799445176</v>
      </c>
      <c r="F81" s="6"/>
      <c r="G81" s="7" t="s">
        <v>114</v>
      </c>
      <c r="H81" s="6">
        <v>1425.06</v>
      </c>
      <c r="I81" s="6">
        <v>1568.0538536862887</v>
      </c>
      <c r="J81" s="6">
        <v>1568.0538536862887</v>
      </c>
      <c r="K81" s="6">
        <f t="shared" si="1"/>
        <v>0</v>
      </c>
      <c r="L81" s="6"/>
    </row>
    <row r="82" spans="1:12" x14ac:dyDescent="0.25">
      <c r="A82" s="7"/>
      <c r="B82" s="6"/>
      <c r="C82" s="6"/>
      <c r="D82" s="6"/>
      <c r="E82" s="6">
        <f t="shared" si="0"/>
        <v>0</v>
      </c>
      <c r="F82" s="6"/>
      <c r="G82" s="7"/>
      <c r="H82" s="6"/>
      <c r="I82" s="6"/>
      <c r="J82" s="6"/>
      <c r="K82" s="6">
        <f t="shared" si="1"/>
        <v>0</v>
      </c>
      <c r="L82" s="6"/>
    </row>
  </sheetData>
  <mergeCells count="12">
    <mergeCell ref="C7:D7"/>
    <mergeCell ref="C8:D8"/>
    <mergeCell ref="A10:B10"/>
    <mergeCell ref="D10:F10"/>
    <mergeCell ref="A46:F46"/>
    <mergeCell ref="G46:L46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94CE1-264F-42C5-A14F-2E76BAA40469}">
  <dimension ref="A1:L82"/>
  <sheetViews>
    <sheetView showGridLines="0" zoomScale="85" zoomScaleNormal="85" workbookViewId="0">
      <selection activeCell="E28" sqref="E28:E35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>
        <v>95747955.186726287</v>
      </c>
      <c r="C2" s="28"/>
      <c r="D2" s="20"/>
    </row>
    <row r="3" spans="1:6" x14ac:dyDescent="0.25">
      <c r="A3" s="1" t="s">
        <v>23</v>
      </c>
      <c r="B3" s="2">
        <v>105200786.35920349</v>
      </c>
      <c r="C3" s="19"/>
      <c r="D3" s="20"/>
    </row>
    <row r="4" spans="1:6" x14ac:dyDescent="0.25">
      <c r="A4" s="1" t="s">
        <v>24</v>
      </c>
      <c r="B4" s="2">
        <v>12614520.059999999</v>
      </c>
      <c r="C4" s="19"/>
      <c r="D4" s="20"/>
    </row>
    <row r="5" spans="1:6" x14ac:dyDescent="0.25">
      <c r="A5" s="1" t="s">
        <v>25</v>
      </c>
      <c r="B5" s="2">
        <v>946208.07000000007</v>
      </c>
      <c r="C5" s="19"/>
      <c r="D5" s="20"/>
    </row>
    <row r="6" spans="1:6" x14ac:dyDescent="0.25">
      <c r="A6" s="1" t="s">
        <v>26</v>
      </c>
      <c r="B6" s="2">
        <v>92218059.733999401</v>
      </c>
      <c r="C6" s="19"/>
      <c r="D6" s="20"/>
    </row>
    <row r="7" spans="1:6" x14ac:dyDescent="0.25">
      <c r="A7" s="1" t="s">
        <v>27</v>
      </c>
      <c r="B7" s="2">
        <v>105778787.86399938</v>
      </c>
      <c r="C7" s="19"/>
      <c r="D7" s="20"/>
    </row>
    <row r="8" spans="1:6" x14ac:dyDescent="0.25">
      <c r="A8" s="1" t="s">
        <v>18</v>
      </c>
      <c r="B8" s="2">
        <v>578001.50479591498</v>
      </c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>
        <v>1934143.2499599508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29</v>
      </c>
      <c r="B27" s="3" t="s">
        <v>34</v>
      </c>
      <c r="C27" s="3" t="s">
        <v>35</v>
      </c>
      <c r="D27" s="3" t="s">
        <v>36</v>
      </c>
      <c r="E27" s="3" t="s">
        <v>37</v>
      </c>
      <c r="F27" s="9"/>
      <c r="G27" s="9"/>
      <c r="H27" s="9"/>
    </row>
    <row r="28" spans="1:8" ht="15" customHeight="1" x14ac:dyDescent="0.25">
      <c r="A28" s="4">
        <v>45809</v>
      </c>
      <c r="B28" s="15">
        <v>4.9599999999999998E-2</v>
      </c>
      <c r="C28" s="16">
        <f>B28</f>
        <v>4.9599999999999998E-2</v>
      </c>
      <c r="D28" s="16">
        <v>4.9599999999999998E-2</v>
      </c>
      <c r="E28" s="16">
        <v>0.03</v>
      </c>
      <c r="F28" s="9"/>
      <c r="G28" s="9"/>
      <c r="H28" s="9"/>
    </row>
    <row r="29" spans="1:8" ht="15" customHeight="1" x14ac:dyDescent="0.25">
      <c r="A29" s="4">
        <v>45839</v>
      </c>
      <c r="B29" s="15">
        <v>8.4400000000000003E-2</v>
      </c>
      <c r="C29" s="16">
        <f>B29-B28</f>
        <v>3.4800000000000005E-2</v>
      </c>
      <c r="D29" s="16">
        <v>3.1599999999999996E-2</v>
      </c>
      <c r="E29" s="16">
        <v>0.04</v>
      </c>
      <c r="F29" s="9"/>
      <c r="G29" s="9"/>
      <c r="H29" s="9"/>
    </row>
    <row r="30" spans="1:8" ht="15" customHeight="1" x14ac:dyDescent="0.25">
      <c r="A30" s="4">
        <v>45870</v>
      </c>
      <c r="B30" s="15">
        <v>0.14549999999999999</v>
      </c>
      <c r="C30" s="16">
        <f t="shared" ref="C30:C34" si="0">B30-B29</f>
        <v>6.1099999999999988E-2</v>
      </c>
      <c r="D30" s="16">
        <v>3.15E-2</v>
      </c>
      <c r="E30" s="16">
        <v>0.01</v>
      </c>
      <c r="F30" s="9"/>
      <c r="G30" s="9"/>
      <c r="H30" s="9"/>
    </row>
    <row r="31" spans="1:8" ht="15" customHeight="1" x14ac:dyDescent="0.25">
      <c r="A31" s="4">
        <v>45901</v>
      </c>
      <c r="B31" s="15">
        <v>0.2046</v>
      </c>
      <c r="C31" s="16">
        <f t="shared" si="0"/>
        <v>5.9100000000000014E-2</v>
      </c>
      <c r="D31" s="16">
        <v>5.0300000000000011E-2</v>
      </c>
      <c r="E31" s="16">
        <v>0.05</v>
      </c>
      <c r="F31" s="9"/>
      <c r="G31" s="9"/>
      <c r="H31" s="9"/>
    </row>
    <row r="32" spans="1:8" ht="15" customHeight="1" x14ac:dyDescent="0.25">
      <c r="A32" s="4">
        <v>45931</v>
      </c>
      <c r="B32" s="15">
        <v>0.28999999999999998</v>
      </c>
      <c r="C32" s="16">
        <f t="shared" si="0"/>
        <v>8.5399999999999976E-2</v>
      </c>
      <c r="D32" s="16">
        <v>4.9799999999999983E-2</v>
      </c>
      <c r="E32" s="16">
        <v>0.06</v>
      </c>
      <c r="F32" s="9"/>
      <c r="G32" s="9"/>
      <c r="H32" s="9"/>
    </row>
    <row r="33" spans="1:12" ht="15" customHeight="1" x14ac:dyDescent="0.25">
      <c r="A33" s="4">
        <v>45962</v>
      </c>
      <c r="B33" s="15">
        <v>0.35980000000000001</v>
      </c>
      <c r="C33" s="16">
        <f t="shared" si="0"/>
        <v>6.9800000000000029E-2</v>
      </c>
      <c r="D33" s="16">
        <v>5.4700000000000026E-2</v>
      </c>
      <c r="E33" s="16">
        <v>7.0000000000000007E-2</v>
      </c>
      <c r="F33" s="9"/>
      <c r="G33" s="9"/>
      <c r="H33" s="9"/>
    </row>
    <row r="34" spans="1:12" ht="15" customHeight="1" x14ac:dyDescent="0.25">
      <c r="A34" s="4">
        <v>45992</v>
      </c>
      <c r="B34" s="15">
        <v>0.41889999999999999</v>
      </c>
      <c r="C34" s="16">
        <f t="shared" si="0"/>
        <v>5.9099999999999986E-2</v>
      </c>
      <c r="D34" s="16">
        <v>3.8999999999999979E-2</v>
      </c>
      <c r="E34" s="16">
        <v>0.08</v>
      </c>
      <c r="F34" s="9"/>
      <c r="G34" s="9"/>
      <c r="H34" s="9"/>
    </row>
    <row r="35" spans="1:12" ht="15" customHeight="1" x14ac:dyDescent="0.25">
      <c r="A35" s="4">
        <v>46023</v>
      </c>
      <c r="B35" s="15"/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46054</v>
      </c>
      <c r="B36" s="15"/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46082</v>
      </c>
      <c r="B37" s="15"/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46113</v>
      </c>
      <c r="B38" s="15"/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46143</v>
      </c>
      <c r="B39" s="15"/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46174</v>
      </c>
      <c r="B40" s="15"/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46204</v>
      </c>
      <c r="B41" s="15"/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46235</v>
      </c>
      <c r="B42" s="15"/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46266</v>
      </c>
      <c r="B43" s="15"/>
      <c r="C43" s="16"/>
      <c r="D43" s="16"/>
      <c r="E43" s="16"/>
      <c r="F43" s="9"/>
      <c r="G43" s="9"/>
      <c r="H43" s="9"/>
    </row>
    <row r="45" spans="1:12" ht="15" customHeight="1" x14ac:dyDescent="0.25">
      <c r="A45" s="8" t="s">
        <v>38</v>
      </c>
    </row>
    <row r="46" spans="1:12" ht="15.75" x14ac:dyDescent="0.25">
      <c r="A46" s="23" t="s">
        <v>39</v>
      </c>
      <c r="B46" s="24"/>
      <c r="C46" s="24"/>
      <c r="D46" s="24"/>
      <c r="E46" s="24"/>
      <c r="F46" s="25"/>
      <c r="G46" s="26" t="s">
        <v>40</v>
      </c>
      <c r="H46" s="27"/>
      <c r="I46" s="27"/>
      <c r="J46" s="27"/>
      <c r="K46" s="27"/>
      <c r="L46" s="27"/>
    </row>
    <row r="47" spans="1:12" ht="25.5" x14ac:dyDescent="0.25">
      <c r="A47" s="3" t="s">
        <v>41</v>
      </c>
      <c r="B47" s="3" t="s">
        <v>42</v>
      </c>
      <c r="C47" s="3" t="s">
        <v>43</v>
      </c>
      <c r="D47" s="3" t="s">
        <v>44</v>
      </c>
      <c r="E47" s="3" t="s">
        <v>45</v>
      </c>
      <c r="F47" s="3" t="s">
        <v>46</v>
      </c>
      <c r="G47" s="3" t="s">
        <v>41</v>
      </c>
      <c r="H47" s="3" t="s">
        <v>42</v>
      </c>
      <c r="I47" s="3" t="s">
        <v>43</v>
      </c>
      <c r="J47" s="3" t="s">
        <v>44</v>
      </c>
      <c r="K47" s="3" t="s">
        <v>45</v>
      </c>
      <c r="L47" s="3" t="s">
        <v>46</v>
      </c>
    </row>
    <row r="48" spans="1:12" x14ac:dyDescent="0.25">
      <c r="A48" s="7" t="s">
        <v>47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1">D48-C48</f>
        <v>505220.25128706032</v>
      </c>
      <c r="F48" s="6"/>
      <c r="G48" s="7" t="s">
        <v>48</v>
      </c>
      <c r="H48" s="6">
        <v>1101312</v>
      </c>
      <c r="I48" s="6">
        <v>1210536.6124694173</v>
      </c>
      <c r="J48" s="6">
        <v>533173.59053115034</v>
      </c>
      <c r="K48" s="6">
        <f t="shared" ref="K48:K82" si="2">J48-I48</f>
        <v>-677363.02193826693</v>
      </c>
      <c r="L48" s="6"/>
    </row>
    <row r="49" spans="1:12" x14ac:dyDescent="0.25">
      <c r="A49" s="7" t="s">
        <v>49</v>
      </c>
      <c r="B49" s="6">
        <v>787917.97424137034</v>
      </c>
      <c r="C49" s="6">
        <v>865103.87747254525</v>
      </c>
      <c r="D49" s="6">
        <v>1325255.8654901136</v>
      </c>
      <c r="E49" s="6">
        <f t="shared" si="1"/>
        <v>460151.98801756836</v>
      </c>
      <c r="F49" s="6"/>
      <c r="G49" s="7" t="s">
        <v>50</v>
      </c>
      <c r="H49" s="6">
        <v>403562.30499999999</v>
      </c>
      <c r="I49" s="6">
        <v>443072.80328695953</v>
      </c>
      <c r="J49" s="6">
        <v>38000</v>
      </c>
      <c r="K49" s="6">
        <f t="shared" si="2"/>
        <v>-405072.80328695953</v>
      </c>
      <c r="L49" s="6"/>
    </row>
    <row r="50" spans="1:12" x14ac:dyDescent="0.25">
      <c r="A50" s="7" t="s">
        <v>51</v>
      </c>
      <c r="B50" s="6">
        <v>1081269.0394285447</v>
      </c>
      <c r="C50" s="6">
        <v>1180224.1933234031</v>
      </c>
      <c r="D50" s="6">
        <v>1575361.2945652129</v>
      </c>
      <c r="E50" s="6">
        <f t="shared" si="1"/>
        <v>395137.10124180978</v>
      </c>
      <c r="F50" s="6"/>
      <c r="G50" s="7" t="s">
        <v>52</v>
      </c>
      <c r="H50" s="6">
        <v>1036308.4188272201</v>
      </c>
      <c r="I50" s="6">
        <v>1118067.7117323838</v>
      </c>
      <c r="J50" s="6">
        <v>751528.91999999981</v>
      </c>
      <c r="K50" s="6">
        <f t="shared" si="2"/>
        <v>-366538.79173238401</v>
      </c>
      <c r="L50" s="6"/>
    </row>
    <row r="51" spans="1:12" x14ac:dyDescent="0.25">
      <c r="A51" s="7" t="s">
        <v>53</v>
      </c>
      <c r="B51" s="6">
        <v>250122.70634257342</v>
      </c>
      <c r="C51" s="6">
        <v>265372.60115608358</v>
      </c>
      <c r="D51" s="6">
        <v>595980.34900000005</v>
      </c>
      <c r="E51" s="6">
        <f t="shared" si="1"/>
        <v>330607.74784391647</v>
      </c>
      <c r="F51" s="6"/>
      <c r="G51" s="7" t="s">
        <v>54</v>
      </c>
      <c r="H51" s="6">
        <v>6552768.188609994</v>
      </c>
      <c r="I51" s="6">
        <v>7195275.1540455455</v>
      </c>
      <c r="J51" s="6">
        <v>6979643.0849913238</v>
      </c>
      <c r="K51" s="6">
        <f t="shared" si="2"/>
        <v>-215632.06905422173</v>
      </c>
      <c r="L51" s="6"/>
    </row>
    <row r="52" spans="1:12" x14ac:dyDescent="0.25">
      <c r="A52" s="7" t="s">
        <v>55</v>
      </c>
      <c r="B52" s="6">
        <v>1047250.9327280399</v>
      </c>
      <c r="C52" s="6">
        <v>1146718.0595562137</v>
      </c>
      <c r="D52" s="6">
        <v>1402124.0727673639</v>
      </c>
      <c r="E52" s="6">
        <f t="shared" si="1"/>
        <v>255406.01321115019</v>
      </c>
      <c r="F52" s="6"/>
      <c r="G52" s="7" t="s">
        <v>56</v>
      </c>
      <c r="H52" s="6">
        <v>2281769.9259050437</v>
      </c>
      <c r="I52" s="6">
        <v>2510358.2682443662</v>
      </c>
      <c r="J52" s="6">
        <v>2379797.2632925045</v>
      </c>
      <c r="K52" s="6">
        <f t="shared" si="2"/>
        <v>-130561.00495186169</v>
      </c>
      <c r="L52" s="6"/>
    </row>
    <row r="53" spans="1:12" x14ac:dyDescent="0.25">
      <c r="A53" s="7" t="s">
        <v>57</v>
      </c>
      <c r="B53" s="6">
        <v>189595.55537503742</v>
      </c>
      <c r="C53" s="6">
        <v>208416.6173458405</v>
      </c>
      <c r="D53" s="6">
        <v>333578.6578235419</v>
      </c>
      <c r="E53" s="6">
        <f t="shared" si="1"/>
        <v>125162.0404777014</v>
      </c>
      <c r="F53" s="6"/>
      <c r="G53" s="7" t="s">
        <v>58</v>
      </c>
      <c r="H53" s="6">
        <v>120468.97134808052</v>
      </c>
      <c r="I53" s="6">
        <v>132557.10971606863</v>
      </c>
      <c r="J53" s="6">
        <v>20969.447752317341</v>
      </c>
      <c r="K53" s="6">
        <f t="shared" si="2"/>
        <v>-111587.66196375129</v>
      </c>
      <c r="L53" s="6"/>
    </row>
    <row r="54" spans="1:12" x14ac:dyDescent="0.25">
      <c r="A54" s="7" t="s">
        <v>59</v>
      </c>
      <c r="B54" s="6">
        <v>35576.962500000001</v>
      </c>
      <c r="C54" s="6">
        <v>37531.593955946548</v>
      </c>
      <c r="D54" s="6">
        <v>152743.4745762712</v>
      </c>
      <c r="E54" s="6">
        <f t="shared" si="1"/>
        <v>115211.88062032465</v>
      </c>
      <c r="F54" s="6"/>
      <c r="G54" s="7" t="s">
        <v>60</v>
      </c>
      <c r="H54" s="6">
        <v>185998.57226161737</v>
      </c>
      <c r="I54" s="6">
        <v>204299.65945951885</v>
      </c>
      <c r="J54" s="6">
        <v>94776.724043233306</v>
      </c>
      <c r="K54" s="6">
        <f t="shared" si="2"/>
        <v>-109522.93541628555</v>
      </c>
      <c r="L54" s="6"/>
    </row>
    <row r="55" spans="1:12" x14ac:dyDescent="0.25">
      <c r="A55" s="7" t="s">
        <v>61</v>
      </c>
      <c r="B55" s="6">
        <v>269218.88064693363</v>
      </c>
      <c r="C55" s="6">
        <v>296070.49249754817</v>
      </c>
      <c r="D55" s="6">
        <v>410512.39612769004</v>
      </c>
      <c r="E55" s="6">
        <f t="shared" si="1"/>
        <v>114441.90363014187</v>
      </c>
      <c r="F55" s="6"/>
      <c r="G55" s="7" t="s">
        <v>62</v>
      </c>
      <c r="H55" s="6">
        <v>604831.16726196418</v>
      </c>
      <c r="I55" s="6">
        <v>652420.25918788638</v>
      </c>
      <c r="J55" s="6">
        <v>586020.30520370253</v>
      </c>
      <c r="K55" s="6">
        <f t="shared" si="2"/>
        <v>-66399.953984183841</v>
      </c>
      <c r="L55" s="6"/>
    </row>
    <row r="56" spans="1:12" x14ac:dyDescent="0.25">
      <c r="A56" s="7" t="s">
        <v>63</v>
      </c>
      <c r="B56" s="6">
        <v>2275680</v>
      </c>
      <c r="C56" s="6">
        <v>2501909.6648655371</v>
      </c>
      <c r="D56" s="6">
        <v>2599681.689378371</v>
      </c>
      <c r="E56" s="6">
        <f t="shared" si="1"/>
        <v>97772.024512833916</v>
      </c>
      <c r="F56" s="6"/>
      <c r="G56" s="7" t="s">
        <v>64</v>
      </c>
      <c r="H56" s="6">
        <v>80220.992928192107</v>
      </c>
      <c r="I56" s="6">
        <v>87925.838322273572</v>
      </c>
      <c r="J56" s="6">
        <v>25430.606402661393</v>
      </c>
      <c r="K56" s="6">
        <f t="shared" si="2"/>
        <v>-62495.231919612183</v>
      </c>
      <c r="L56" s="6"/>
    </row>
    <row r="57" spans="1:12" x14ac:dyDescent="0.25">
      <c r="A57" s="7" t="s">
        <v>65</v>
      </c>
      <c r="B57" s="6">
        <v>57252.814142904615</v>
      </c>
      <c r="C57" s="6">
        <v>62997.695431186396</v>
      </c>
      <c r="D57" s="6">
        <v>158776.37321059153</v>
      </c>
      <c r="E57" s="6">
        <f t="shared" si="1"/>
        <v>95778.67777940513</v>
      </c>
      <c r="F57" s="6"/>
      <c r="G57" s="7" t="s">
        <v>66</v>
      </c>
      <c r="H57" s="6">
        <v>248668.76290445638</v>
      </c>
      <c r="I57" s="6">
        <v>272033.68041880854</v>
      </c>
      <c r="J57" s="6">
        <v>217057.60693628585</v>
      </c>
      <c r="K57" s="6">
        <f t="shared" si="2"/>
        <v>-54976.073482522683</v>
      </c>
      <c r="L57" s="6"/>
    </row>
    <row r="58" spans="1:12" x14ac:dyDescent="0.25">
      <c r="A58" s="7" t="s">
        <v>67</v>
      </c>
      <c r="B58" s="6">
        <v>107826.33696189984</v>
      </c>
      <c r="C58" s="6">
        <v>118611.83348175029</v>
      </c>
      <c r="D58" s="6">
        <v>207987.21348175028</v>
      </c>
      <c r="E58" s="6">
        <f t="shared" si="1"/>
        <v>89375.37999999999</v>
      </c>
      <c r="F58" s="6"/>
      <c r="G58" s="7" t="s">
        <v>68</v>
      </c>
      <c r="H58" s="6">
        <v>47400</v>
      </c>
      <c r="I58" s="6">
        <v>52156.226870959872</v>
      </c>
      <c r="J58" s="6">
        <v>0</v>
      </c>
      <c r="K58" s="6">
        <f t="shared" si="2"/>
        <v>-52156.226870959872</v>
      </c>
      <c r="L58" s="6"/>
    </row>
    <row r="59" spans="1:12" x14ac:dyDescent="0.25">
      <c r="A59" s="7" t="s">
        <v>69</v>
      </c>
      <c r="B59" s="6">
        <v>375221.55324750004</v>
      </c>
      <c r="C59" s="6">
        <v>408621.10441633413</v>
      </c>
      <c r="D59" s="6">
        <v>487685.09721314698</v>
      </c>
      <c r="E59" s="6">
        <f t="shared" si="1"/>
        <v>79063.992796812847</v>
      </c>
      <c r="F59" s="6"/>
      <c r="G59" s="7" t="s">
        <v>70</v>
      </c>
      <c r="H59" s="6">
        <v>323000</v>
      </c>
      <c r="I59" s="6">
        <v>354939.64977887005</v>
      </c>
      <c r="J59" s="6">
        <v>305485.09274884663</v>
      </c>
      <c r="K59" s="6">
        <f t="shared" si="2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1"/>
        <v>73379.11940467963</v>
      </c>
      <c r="F60" s="6"/>
      <c r="G60" s="7" t="s">
        <v>72</v>
      </c>
      <c r="H60" s="6">
        <v>44902.619999999995</v>
      </c>
      <c r="I60" s="6">
        <v>49408.253920263705</v>
      </c>
      <c r="J60" s="6">
        <v>0</v>
      </c>
      <c r="K60" s="6">
        <f t="shared" si="2"/>
        <v>-49408.253920263705</v>
      </c>
      <c r="L60" s="6"/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1"/>
        <v>67405.212924658787</v>
      </c>
      <c r="F61" s="6"/>
      <c r="G61" s="7" t="s">
        <v>74</v>
      </c>
      <c r="H61" s="6">
        <v>53834.780352640009</v>
      </c>
      <c r="I61" s="6">
        <v>59225.322341151899</v>
      </c>
      <c r="J61" s="6">
        <v>21171.357934263768</v>
      </c>
      <c r="K61" s="6">
        <f t="shared" si="2"/>
        <v>-38053.964406888132</v>
      </c>
      <c r="L61" s="6"/>
    </row>
    <row r="62" spans="1:12" x14ac:dyDescent="0.25">
      <c r="A62" s="7" t="s">
        <v>75</v>
      </c>
      <c r="B62" s="6">
        <v>632186.92102385126</v>
      </c>
      <c r="C62" s="6">
        <v>694336.65689924359</v>
      </c>
      <c r="D62" s="6">
        <v>757558.8628992436</v>
      </c>
      <c r="E62" s="6">
        <f t="shared" si="1"/>
        <v>63222.206000000006</v>
      </c>
      <c r="F62" s="6"/>
      <c r="G62" s="7" t="s">
        <v>76</v>
      </c>
      <c r="H62" s="6">
        <v>5441345.7542000003</v>
      </c>
      <c r="I62" s="6">
        <v>5962535.341289294</v>
      </c>
      <c r="J62" s="6">
        <v>5925790.8540378427</v>
      </c>
      <c r="K62" s="6">
        <f t="shared" si="2"/>
        <v>-36744.487251451239</v>
      </c>
      <c r="L62" s="6"/>
    </row>
    <row r="63" spans="1:12" x14ac:dyDescent="0.25">
      <c r="A63" s="7" t="s">
        <v>77</v>
      </c>
      <c r="B63" s="6">
        <v>83429.153030534027</v>
      </c>
      <c r="C63" s="6">
        <v>87642.37777688996</v>
      </c>
      <c r="D63" s="6">
        <v>145298.356</v>
      </c>
      <c r="E63" s="6">
        <f t="shared" si="1"/>
        <v>57655.97822311004</v>
      </c>
      <c r="F63" s="6"/>
      <c r="G63" s="7" t="s">
        <v>78</v>
      </c>
      <c r="H63" s="6">
        <v>233600</v>
      </c>
      <c r="I63" s="6">
        <v>256894.32588197562</v>
      </c>
      <c r="J63" s="6">
        <v>222076.63375866329</v>
      </c>
      <c r="K63" s="6">
        <f t="shared" si="2"/>
        <v>-34817.692123312328</v>
      </c>
      <c r="L63" s="6"/>
    </row>
    <row r="64" spans="1:12" x14ac:dyDescent="0.25">
      <c r="A64" s="7" t="s">
        <v>79</v>
      </c>
      <c r="B64" s="6">
        <v>2215133.855</v>
      </c>
      <c r="C64" s="6">
        <v>2437361.9630886614</v>
      </c>
      <c r="D64" s="6">
        <v>2483861.9630886614</v>
      </c>
      <c r="E64" s="6">
        <f t="shared" si="1"/>
        <v>46500</v>
      </c>
      <c r="F64" s="6"/>
      <c r="G64" s="7" t="s">
        <v>80</v>
      </c>
      <c r="H64" s="6">
        <v>47400</v>
      </c>
      <c r="I64" s="6">
        <v>52074.601313139894</v>
      </c>
      <c r="J64" s="6">
        <v>17801.34</v>
      </c>
      <c r="K64" s="6">
        <f t="shared" si="2"/>
        <v>-34273.261313139898</v>
      </c>
      <c r="L64" s="6"/>
    </row>
    <row r="65" spans="1:12" x14ac:dyDescent="0.25">
      <c r="A65" s="7" t="s">
        <v>81</v>
      </c>
      <c r="B65" s="6">
        <v>10819.4375</v>
      </c>
      <c r="C65" s="6">
        <v>11746.223671956868</v>
      </c>
      <c r="D65" s="6">
        <v>57845.723506970426</v>
      </c>
      <c r="E65" s="6">
        <f t="shared" si="1"/>
        <v>46099.499835013557</v>
      </c>
      <c r="F65" s="6"/>
      <c r="G65" s="7" t="s">
        <v>82</v>
      </c>
      <c r="H65" s="6">
        <v>650000.02933333337</v>
      </c>
      <c r="I65" s="6">
        <v>713899.37372633582</v>
      </c>
      <c r="J65" s="6">
        <v>682129.99926643865</v>
      </c>
      <c r="K65" s="6">
        <f t="shared" si="2"/>
        <v>-31769.374459897168</v>
      </c>
      <c r="L65" s="6"/>
    </row>
    <row r="66" spans="1:12" x14ac:dyDescent="0.25">
      <c r="A66" s="7" t="s">
        <v>83</v>
      </c>
      <c r="B66" s="6">
        <v>522720</v>
      </c>
      <c r="C66" s="6">
        <v>574204.25532855326</v>
      </c>
      <c r="D66" s="6">
        <v>615351.79254456575</v>
      </c>
      <c r="E66" s="6">
        <f t="shared" si="1"/>
        <v>41147.537216012483</v>
      </c>
      <c r="F66" s="6"/>
      <c r="G66" s="7" t="s">
        <v>84</v>
      </c>
      <c r="H66" s="6">
        <v>16719.925000000003</v>
      </c>
      <c r="I66" s="6">
        <v>18397.641383237002</v>
      </c>
      <c r="J66" s="6">
        <v>0</v>
      </c>
      <c r="K66" s="6">
        <f t="shared" si="2"/>
        <v>-18397.641383237002</v>
      </c>
      <c r="L66" s="6"/>
    </row>
    <row r="67" spans="1:12" x14ac:dyDescent="0.25">
      <c r="A67" s="7" t="s">
        <v>85</v>
      </c>
      <c r="B67" s="6">
        <v>384590.41845262051</v>
      </c>
      <c r="C67" s="6">
        <v>423181.12061629252</v>
      </c>
      <c r="D67" s="6">
        <v>463935.39261629252</v>
      </c>
      <c r="E67" s="6">
        <f t="shared" si="1"/>
        <v>40754.271999999997</v>
      </c>
      <c r="F67" s="6"/>
      <c r="G67" s="7" t="s">
        <v>86</v>
      </c>
      <c r="H67" s="6">
        <v>245360</v>
      </c>
      <c r="I67" s="6">
        <v>269418.21170744422</v>
      </c>
      <c r="J67" s="6">
        <v>252978.05884730394</v>
      </c>
      <c r="K67" s="6">
        <f t="shared" si="2"/>
        <v>-16440.152860140282</v>
      </c>
      <c r="L67" s="6"/>
    </row>
    <row r="68" spans="1:12" x14ac:dyDescent="0.25">
      <c r="A68" s="7" t="s">
        <v>87</v>
      </c>
      <c r="B68" s="6">
        <v>250000</v>
      </c>
      <c r="C68" s="6">
        <v>258670.94652034686</v>
      </c>
      <c r="D68" s="6">
        <v>281709.36</v>
      </c>
      <c r="E68" s="6">
        <f t="shared" si="1"/>
        <v>23038.413479653129</v>
      </c>
      <c r="F68" s="6"/>
      <c r="G68" s="7" t="s">
        <v>88</v>
      </c>
      <c r="H68" s="6">
        <v>26100</v>
      </c>
      <c r="I68" s="6">
        <v>28496.159208931313</v>
      </c>
      <c r="J68" s="6">
        <v>12192.85</v>
      </c>
      <c r="K68" s="6">
        <f t="shared" si="2"/>
        <v>-16303.309208931312</v>
      </c>
      <c r="L68" s="6"/>
    </row>
    <row r="69" spans="1:12" x14ac:dyDescent="0.25">
      <c r="A69" s="7" t="s">
        <v>89</v>
      </c>
      <c r="B69" s="6">
        <v>52787.786047755486</v>
      </c>
      <c r="C69" s="6">
        <v>58084.635973046934</v>
      </c>
      <c r="D69" s="6">
        <v>77678.225973046923</v>
      </c>
      <c r="E69" s="6">
        <f t="shared" si="1"/>
        <v>19593.589999999989</v>
      </c>
      <c r="F69" s="6"/>
      <c r="G69" s="7" t="s">
        <v>90</v>
      </c>
      <c r="H69" s="6">
        <v>379507.65</v>
      </c>
      <c r="I69" s="6">
        <v>416024.08795748133</v>
      </c>
      <c r="J69" s="6">
        <v>400158.23616089963</v>
      </c>
      <c r="K69" s="6">
        <f t="shared" si="2"/>
        <v>-15865.851796581701</v>
      </c>
      <c r="L69" s="6"/>
    </row>
    <row r="70" spans="1:12" x14ac:dyDescent="0.25">
      <c r="A70" s="7" t="s">
        <v>91</v>
      </c>
      <c r="B70" s="6">
        <v>400765.48</v>
      </c>
      <c r="C70" s="6">
        <v>439474.50785192783</v>
      </c>
      <c r="D70" s="6">
        <v>457993.70436862484</v>
      </c>
      <c r="E70" s="6">
        <f t="shared" si="1"/>
        <v>18519.196516697004</v>
      </c>
      <c r="F70" s="6"/>
      <c r="G70" s="7" t="s">
        <v>92</v>
      </c>
      <c r="H70" s="6">
        <v>90222.908418788778</v>
      </c>
      <c r="I70" s="6">
        <v>96636.264678799052</v>
      </c>
      <c r="J70" s="6">
        <v>85001.203459137629</v>
      </c>
      <c r="K70" s="6">
        <f t="shared" si="2"/>
        <v>-11635.061219661424</v>
      </c>
      <c r="L70" s="6"/>
    </row>
    <row r="71" spans="1:12" x14ac:dyDescent="0.25">
      <c r="A71" s="7" t="s">
        <v>93</v>
      </c>
      <c r="B71" s="6">
        <v>351700</v>
      </c>
      <c r="C71" s="6">
        <v>385920.15217851364</v>
      </c>
      <c r="D71" s="6">
        <v>401516.94060296775</v>
      </c>
      <c r="E71" s="6">
        <f t="shared" si="1"/>
        <v>15596.788424454106</v>
      </c>
      <c r="F71" s="6"/>
      <c r="G71" s="7" t="s">
        <v>94</v>
      </c>
      <c r="H71" s="6">
        <v>11403.052082228009</v>
      </c>
      <c r="I71" s="6">
        <v>12443.789295922272</v>
      </c>
      <c r="J71" s="6">
        <v>2500</v>
      </c>
      <c r="K71" s="6">
        <f t="shared" si="2"/>
        <v>-9943.7892959222718</v>
      </c>
      <c r="L71" s="6"/>
    </row>
    <row r="72" spans="1:12" ht="30" x14ac:dyDescent="0.25">
      <c r="A72" s="7" t="s">
        <v>95</v>
      </c>
      <c r="B72" s="6">
        <v>75836.522803676606</v>
      </c>
      <c r="C72" s="6">
        <v>83446.136887199988</v>
      </c>
      <c r="D72" s="6">
        <v>90532.932887199975</v>
      </c>
      <c r="E72" s="6">
        <f t="shared" si="1"/>
        <v>7086.7959999999875</v>
      </c>
      <c r="F72" s="6"/>
      <c r="G72" s="7" t="s">
        <v>96</v>
      </c>
      <c r="H72" s="6">
        <v>3600</v>
      </c>
      <c r="I72" s="6">
        <v>3961.2324205792306</v>
      </c>
      <c r="J72" s="6">
        <v>0</v>
      </c>
      <c r="K72" s="6">
        <f t="shared" si="2"/>
        <v>-3961.2324205792306</v>
      </c>
      <c r="L72" s="6"/>
    </row>
    <row r="73" spans="1:12" x14ac:dyDescent="0.25">
      <c r="A73" s="7" t="s">
        <v>97</v>
      </c>
      <c r="B73" s="6">
        <v>1288479.01</v>
      </c>
      <c r="C73" s="6">
        <v>1417768.0076799537</v>
      </c>
      <c r="D73" s="6">
        <v>1423409.2376799537</v>
      </c>
      <c r="E73" s="6">
        <f t="shared" si="1"/>
        <v>5641.2299999999814</v>
      </c>
      <c r="F73" s="6"/>
      <c r="G73" s="7" t="s">
        <v>98</v>
      </c>
      <c r="H73" s="6">
        <v>29550.53354690081</v>
      </c>
      <c r="I73" s="6">
        <v>32515.204598170272</v>
      </c>
      <c r="J73" s="6">
        <v>29009.887637604497</v>
      </c>
      <c r="K73" s="6">
        <f t="shared" si="2"/>
        <v>-3505.3169605657749</v>
      </c>
      <c r="L73" s="6"/>
    </row>
    <row r="74" spans="1:12" x14ac:dyDescent="0.25">
      <c r="A74" s="7" t="s">
        <v>99</v>
      </c>
      <c r="B74" s="6">
        <v>69401.564133824344</v>
      </c>
      <c r="C74" s="6">
        <v>76347.999948027136</v>
      </c>
      <c r="D74" s="6">
        <v>81865.739948027127</v>
      </c>
      <c r="E74" s="6">
        <f t="shared" si="1"/>
        <v>5517.7399999999907</v>
      </c>
      <c r="F74" s="6"/>
      <c r="G74" s="7" t="s">
        <v>100</v>
      </c>
      <c r="H74" s="6">
        <v>101074.42118806772</v>
      </c>
      <c r="I74" s="6">
        <v>111216.46502818173</v>
      </c>
      <c r="J74" s="6">
        <v>108757.64962313166</v>
      </c>
      <c r="K74" s="6">
        <f t="shared" si="2"/>
        <v>-2458.8154050500743</v>
      </c>
      <c r="L74" s="6"/>
    </row>
    <row r="75" spans="1:12" x14ac:dyDescent="0.25">
      <c r="A75" s="7" t="s">
        <v>101</v>
      </c>
      <c r="B75" s="6">
        <v>25747.928568365201</v>
      </c>
      <c r="C75" s="6">
        <v>28287.134418739417</v>
      </c>
      <c r="D75" s="6">
        <v>32143.734751860236</v>
      </c>
      <c r="E75" s="6">
        <f t="shared" si="1"/>
        <v>3856.6003331208194</v>
      </c>
      <c r="F75" s="6"/>
      <c r="G75" s="7" t="s">
        <v>102</v>
      </c>
      <c r="H75" s="6">
        <v>17815.142836013587</v>
      </c>
      <c r="I75" s="6">
        <v>19602.755938685234</v>
      </c>
      <c r="J75" s="6">
        <v>17858.41959306084</v>
      </c>
      <c r="K75" s="6">
        <f t="shared" si="2"/>
        <v>-1744.3363456243933</v>
      </c>
      <c r="L75" s="6"/>
    </row>
    <row r="76" spans="1:12" x14ac:dyDescent="0.25">
      <c r="A76" s="7" t="s">
        <v>103</v>
      </c>
      <c r="B76" s="6">
        <v>1335561.9885516798</v>
      </c>
      <c r="C76" s="6">
        <v>1469098.643101532</v>
      </c>
      <c r="D76" s="6">
        <v>1472298.643101532</v>
      </c>
      <c r="E76" s="6">
        <f t="shared" si="1"/>
        <v>3200</v>
      </c>
      <c r="F76" s="6"/>
      <c r="G76" s="7" t="s">
        <v>104</v>
      </c>
      <c r="H76" s="6">
        <v>40840.894970129266</v>
      </c>
      <c r="I76" s="6">
        <v>44938.96590031869</v>
      </c>
      <c r="J76" s="6">
        <v>43629.69394239071</v>
      </c>
      <c r="K76" s="6">
        <f t="shared" si="2"/>
        <v>-1309.2719579279801</v>
      </c>
      <c r="L76" s="6"/>
    </row>
    <row r="77" spans="1:12" x14ac:dyDescent="0.25">
      <c r="A77" s="7" t="s">
        <v>105</v>
      </c>
      <c r="B77" s="6">
        <v>47400</v>
      </c>
      <c r="C77" s="6">
        <v>52147.935404396259</v>
      </c>
      <c r="D77" s="6">
        <v>54956.226870959872</v>
      </c>
      <c r="E77" s="6">
        <f t="shared" si="1"/>
        <v>2808.2914665636126</v>
      </c>
      <c r="F77" s="6"/>
      <c r="G77" s="7" t="s">
        <v>106</v>
      </c>
      <c r="H77" s="6">
        <v>3994.042474296928</v>
      </c>
      <c r="I77" s="6">
        <v>4394.8140384320786</v>
      </c>
      <c r="J77" s="6">
        <v>4009.2261092732724</v>
      </c>
      <c r="K77" s="6">
        <f t="shared" si="2"/>
        <v>-385.58792915880622</v>
      </c>
      <c r="L77" s="6"/>
    </row>
    <row r="78" spans="1:12" x14ac:dyDescent="0.25">
      <c r="A78" s="7" t="s">
        <v>107</v>
      </c>
      <c r="B78" s="6">
        <v>41837.040000000001</v>
      </c>
      <c r="C78" s="6">
        <v>46035.066452519481</v>
      </c>
      <c r="D78" s="6">
        <v>47172.816452519481</v>
      </c>
      <c r="E78" s="6">
        <f t="shared" si="1"/>
        <v>1137.75</v>
      </c>
      <c r="F78" s="6"/>
      <c r="G78" s="7" t="s">
        <v>108</v>
      </c>
      <c r="H78" s="6">
        <v>163896.06145440001</v>
      </c>
      <c r="I78" s="6">
        <v>180341.77562178206</v>
      </c>
      <c r="J78" s="6">
        <v>180057.82562178205</v>
      </c>
      <c r="K78" s="6">
        <f t="shared" si="2"/>
        <v>-283.95000000001164</v>
      </c>
      <c r="L78" s="6"/>
    </row>
    <row r="79" spans="1:12" x14ac:dyDescent="0.25">
      <c r="A79" s="7" t="s">
        <v>109</v>
      </c>
      <c r="B79" s="6">
        <v>176569.91140400001</v>
      </c>
      <c r="C79" s="6">
        <v>194287.34932009096</v>
      </c>
      <c r="D79" s="6">
        <v>195117.77932009095</v>
      </c>
      <c r="E79" s="6">
        <f t="shared" si="1"/>
        <v>830.42999999999302</v>
      </c>
      <c r="F79" s="6"/>
      <c r="G79" s="7" t="s">
        <v>110</v>
      </c>
      <c r="H79" s="6">
        <v>24084.091797531873</v>
      </c>
      <c r="I79" s="6">
        <v>26500.745902386003</v>
      </c>
      <c r="J79" s="6">
        <v>26265.328378057136</v>
      </c>
      <c r="K79" s="6">
        <f t="shared" si="2"/>
        <v>-235.41752432886642</v>
      </c>
      <c r="L79" s="6"/>
    </row>
    <row r="80" spans="1:12" x14ac:dyDescent="0.25">
      <c r="A80" s="7" t="s">
        <v>111</v>
      </c>
      <c r="B80" s="6">
        <v>1818749.1038897291</v>
      </c>
      <c r="C80" s="6">
        <v>2001244.0463697994</v>
      </c>
      <c r="D80" s="6">
        <v>2001805.8431187263</v>
      </c>
      <c r="E80" s="6">
        <f t="shared" si="1"/>
        <v>561.79674892686307</v>
      </c>
      <c r="F80" s="6"/>
      <c r="G80" s="7" t="s">
        <v>112</v>
      </c>
      <c r="H80" s="6">
        <v>8420.2799999999988</v>
      </c>
      <c r="I80" s="6">
        <v>9265.190590654136</v>
      </c>
      <c r="J80" s="6">
        <v>9265.190590654136</v>
      </c>
      <c r="K80" s="6">
        <f t="shared" si="2"/>
        <v>0</v>
      </c>
      <c r="L80" s="6"/>
    </row>
    <row r="81" spans="1:12" x14ac:dyDescent="0.25">
      <c r="A81" s="7" t="s">
        <v>113</v>
      </c>
      <c r="B81" s="6">
        <v>220000</v>
      </c>
      <c r="C81" s="6">
        <v>241952.54893491842</v>
      </c>
      <c r="D81" s="6">
        <v>242369.70315291287</v>
      </c>
      <c r="E81" s="6">
        <f t="shared" si="1"/>
        <v>417.15421799445176</v>
      </c>
      <c r="F81" s="6"/>
      <c r="G81" s="7" t="s">
        <v>114</v>
      </c>
      <c r="H81" s="6">
        <v>1425.06</v>
      </c>
      <c r="I81" s="6">
        <v>1568.0538536862887</v>
      </c>
      <c r="J81" s="6">
        <v>1568.0538536862887</v>
      </c>
      <c r="K81" s="6">
        <f t="shared" si="2"/>
        <v>0</v>
      </c>
      <c r="L81" s="6"/>
    </row>
    <row r="82" spans="1:12" x14ac:dyDescent="0.25">
      <c r="A82" s="7"/>
      <c r="B82" s="6"/>
      <c r="C82" s="6"/>
      <c r="D82" s="6"/>
      <c r="E82" s="6">
        <f t="shared" si="1"/>
        <v>0</v>
      </c>
      <c r="F82" s="6"/>
      <c r="G82" s="7"/>
      <c r="H82" s="6"/>
      <c r="I82" s="6"/>
      <c r="J82" s="6"/>
      <c r="K82" s="6">
        <f t="shared" si="2"/>
        <v>0</v>
      </c>
      <c r="L82" s="6"/>
    </row>
  </sheetData>
  <mergeCells count="12">
    <mergeCell ref="C7:D7"/>
    <mergeCell ref="C8:D8"/>
    <mergeCell ref="A10:B10"/>
    <mergeCell ref="D10:F10"/>
    <mergeCell ref="A46:F46"/>
    <mergeCell ref="G46:L46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A84D4-9BF2-448C-B80C-CE0F4C5C3A0A}">
  <dimension ref="A1:L82"/>
  <sheetViews>
    <sheetView showGridLines="0" zoomScale="85" zoomScaleNormal="85" workbookViewId="0">
      <selection activeCell="E28" sqref="E28:E35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>
        <v>95747955.186726287</v>
      </c>
      <c r="C2" s="28"/>
      <c r="D2" s="20"/>
    </row>
    <row r="3" spans="1:6" x14ac:dyDescent="0.25">
      <c r="A3" s="1" t="s">
        <v>23</v>
      </c>
      <c r="B3" s="2">
        <v>105200786.35920349</v>
      </c>
      <c r="C3" s="19"/>
      <c r="D3" s="20"/>
    </row>
    <row r="4" spans="1:6" x14ac:dyDescent="0.25">
      <c r="A4" s="1" t="s">
        <v>24</v>
      </c>
      <c r="B4" s="2">
        <v>12614520.059999999</v>
      </c>
      <c r="C4" s="19"/>
      <c r="D4" s="20"/>
    </row>
    <row r="5" spans="1:6" x14ac:dyDescent="0.25">
      <c r="A5" s="1" t="s">
        <v>25</v>
      </c>
      <c r="B5" s="2">
        <v>946208.07000000007</v>
      </c>
      <c r="C5" s="19"/>
      <c r="D5" s="20"/>
    </row>
    <row r="6" spans="1:6" x14ac:dyDescent="0.25">
      <c r="A6" s="1" t="s">
        <v>26</v>
      </c>
      <c r="B6" s="2">
        <v>92218059.733999401</v>
      </c>
      <c r="C6" s="19"/>
      <c r="D6" s="20"/>
    </row>
    <row r="7" spans="1:6" x14ac:dyDescent="0.25">
      <c r="A7" s="1" t="s">
        <v>27</v>
      </c>
      <c r="B7" s="2">
        <v>105778787.86399938</v>
      </c>
      <c r="C7" s="19"/>
      <c r="D7" s="20"/>
    </row>
    <row r="8" spans="1:6" x14ac:dyDescent="0.25">
      <c r="A8" s="1" t="s">
        <v>18</v>
      </c>
      <c r="B8" s="2">
        <v>578001.50479591498</v>
      </c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>
        <v>1934143.2499599508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29</v>
      </c>
      <c r="B27" s="3" t="s">
        <v>34</v>
      </c>
      <c r="C27" s="3" t="s">
        <v>35</v>
      </c>
      <c r="D27" s="3" t="s">
        <v>36</v>
      </c>
      <c r="E27" s="3" t="s">
        <v>37</v>
      </c>
      <c r="F27" s="9"/>
      <c r="G27" s="9"/>
      <c r="H27" s="9"/>
    </row>
    <row r="28" spans="1:8" ht="15" customHeight="1" x14ac:dyDescent="0.25">
      <c r="A28" s="4">
        <v>45809</v>
      </c>
      <c r="B28" s="15">
        <v>4.9599999999999998E-2</v>
      </c>
      <c r="C28" s="16">
        <f>B28</f>
        <v>4.9599999999999998E-2</v>
      </c>
      <c r="D28" s="16">
        <v>4.9599999999999998E-2</v>
      </c>
      <c r="E28" s="16">
        <v>0.03</v>
      </c>
      <c r="F28" s="9"/>
      <c r="G28" s="9"/>
      <c r="H28" s="9"/>
    </row>
    <row r="29" spans="1:8" ht="15" customHeight="1" x14ac:dyDescent="0.25">
      <c r="A29" s="4">
        <v>45839</v>
      </c>
      <c r="B29" s="15">
        <v>8.4400000000000003E-2</v>
      </c>
      <c r="C29" s="16">
        <f>B29-B28</f>
        <v>3.4800000000000005E-2</v>
      </c>
      <c r="D29" s="16">
        <v>3.1599999999999996E-2</v>
      </c>
      <c r="E29" s="16">
        <v>0.04</v>
      </c>
      <c r="F29" s="9"/>
      <c r="G29" s="9"/>
      <c r="H29" s="9"/>
    </row>
    <row r="30" spans="1:8" ht="15" customHeight="1" x14ac:dyDescent="0.25">
      <c r="A30" s="4">
        <v>45870</v>
      </c>
      <c r="B30" s="15">
        <v>0.14549999999999999</v>
      </c>
      <c r="C30" s="16">
        <f t="shared" ref="C30:C34" si="0">B30-B29</f>
        <v>6.1099999999999988E-2</v>
      </c>
      <c r="D30" s="16">
        <v>3.15E-2</v>
      </c>
      <c r="E30" s="16">
        <v>0.01</v>
      </c>
      <c r="F30" s="9"/>
      <c r="G30" s="9"/>
      <c r="H30" s="9"/>
    </row>
    <row r="31" spans="1:8" ht="15" customHeight="1" x14ac:dyDescent="0.25">
      <c r="A31" s="4">
        <v>45901</v>
      </c>
      <c r="B31" s="15">
        <v>0.2046</v>
      </c>
      <c r="C31" s="16">
        <f t="shared" si="0"/>
        <v>5.9100000000000014E-2</v>
      </c>
      <c r="D31" s="16">
        <v>5.0300000000000011E-2</v>
      </c>
      <c r="E31" s="16">
        <v>0.05</v>
      </c>
      <c r="F31" s="9"/>
      <c r="G31" s="9"/>
      <c r="H31" s="9"/>
    </row>
    <row r="32" spans="1:8" ht="15" customHeight="1" x14ac:dyDescent="0.25">
      <c r="A32" s="4">
        <v>45931</v>
      </c>
      <c r="B32" s="15">
        <v>0.28999999999999998</v>
      </c>
      <c r="C32" s="16">
        <f t="shared" si="0"/>
        <v>8.5399999999999976E-2</v>
      </c>
      <c r="D32" s="16">
        <v>4.9799999999999983E-2</v>
      </c>
      <c r="E32" s="16">
        <v>0.06</v>
      </c>
      <c r="F32" s="9"/>
      <c r="G32" s="9"/>
      <c r="H32" s="9"/>
    </row>
    <row r="33" spans="1:12" ht="15" customHeight="1" x14ac:dyDescent="0.25">
      <c r="A33" s="4">
        <v>45962</v>
      </c>
      <c r="B33" s="15">
        <v>0.35980000000000001</v>
      </c>
      <c r="C33" s="16">
        <f t="shared" si="0"/>
        <v>6.9800000000000029E-2</v>
      </c>
      <c r="D33" s="16">
        <v>5.4700000000000026E-2</v>
      </c>
      <c r="E33" s="16">
        <v>7.0000000000000007E-2</v>
      </c>
      <c r="F33" s="9"/>
      <c r="G33" s="9"/>
      <c r="H33" s="9"/>
    </row>
    <row r="34" spans="1:12" ht="15" customHeight="1" x14ac:dyDescent="0.25">
      <c r="A34" s="4">
        <v>45992</v>
      </c>
      <c r="B34" s="15">
        <v>0.41889999999999999</v>
      </c>
      <c r="C34" s="16">
        <f t="shared" si="0"/>
        <v>5.9099999999999986E-2</v>
      </c>
      <c r="D34" s="16">
        <v>3.8999999999999979E-2</v>
      </c>
      <c r="E34" s="16">
        <v>0.08</v>
      </c>
      <c r="F34" s="9"/>
      <c r="G34" s="9"/>
      <c r="H34" s="9"/>
    </row>
    <row r="35" spans="1:12" ht="15" customHeight="1" x14ac:dyDescent="0.25">
      <c r="A35" s="4">
        <v>46023</v>
      </c>
      <c r="B35" s="15"/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46054</v>
      </c>
      <c r="B36" s="15"/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46082</v>
      </c>
      <c r="B37" s="15"/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46113</v>
      </c>
      <c r="B38" s="15"/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46143</v>
      </c>
      <c r="B39" s="15"/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46174</v>
      </c>
      <c r="B40" s="15"/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46204</v>
      </c>
      <c r="B41" s="15"/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46235</v>
      </c>
      <c r="B42" s="15"/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46266</v>
      </c>
      <c r="B43" s="15"/>
      <c r="C43" s="16"/>
      <c r="D43" s="16"/>
      <c r="E43" s="16"/>
      <c r="F43" s="9"/>
      <c r="G43" s="9"/>
      <c r="H43" s="9"/>
    </row>
    <row r="45" spans="1:12" ht="15" customHeight="1" x14ac:dyDescent="0.25">
      <c r="A45" s="8" t="s">
        <v>38</v>
      </c>
    </row>
    <row r="46" spans="1:12" ht="15.75" x14ac:dyDescent="0.25">
      <c r="A46" s="23" t="s">
        <v>39</v>
      </c>
      <c r="B46" s="24"/>
      <c r="C46" s="24"/>
      <c r="D46" s="24"/>
      <c r="E46" s="24"/>
      <c r="F46" s="25"/>
      <c r="G46" s="26" t="s">
        <v>40</v>
      </c>
      <c r="H46" s="27"/>
      <c r="I46" s="27"/>
      <c r="J46" s="27"/>
      <c r="K46" s="27"/>
      <c r="L46" s="27"/>
    </row>
    <row r="47" spans="1:12" ht="25.5" x14ac:dyDescent="0.25">
      <c r="A47" s="3" t="s">
        <v>41</v>
      </c>
      <c r="B47" s="3" t="s">
        <v>42</v>
      </c>
      <c r="C47" s="3" t="s">
        <v>43</v>
      </c>
      <c r="D47" s="3" t="s">
        <v>44</v>
      </c>
      <c r="E47" s="3" t="s">
        <v>45</v>
      </c>
      <c r="F47" s="3" t="s">
        <v>46</v>
      </c>
      <c r="G47" s="3" t="s">
        <v>41</v>
      </c>
      <c r="H47" s="3" t="s">
        <v>42</v>
      </c>
      <c r="I47" s="3" t="s">
        <v>43</v>
      </c>
      <c r="J47" s="3" t="s">
        <v>44</v>
      </c>
      <c r="K47" s="3" t="s">
        <v>45</v>
      </c>
      <c r="L47" s="3" t="s">
        <v>46</v>
      </c>
    </row>
    <row r="48" spans="1:12" x14ac:dyDescent="0.25">
      <c r="A48" s="7" t="s">
        <v>47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1">D48-C48</f>
        <v>505220.25128706032</v>
      </c>
      <c r="F48" s="6"/>
      <c r="G48" s="7" t="s">
        <v>48</v>
      </c>
      <c r="H48" s="6">
        <v>1101312</v>
      </c>
      <c r="I48" s="6">
        <v>1210536.6124694173</v>
      </c>
      <c r="J48" s="6">
        <v>533173.59053115034</v>
      </c>
      <c r="K48" s="6">
        <f t="shared" ref="K48:K82" si="2">J48-I48</f>
        <v>-677363.02193826693</v>
      </c>
      <c r="L48" s="6"/>
    </row>
    <row r="49" spans="1:12" x14ac:dyDescent="0.25">
      <c r="A49" s="7" t="s">
        <v>49</v>
      </c>
      <c r="B49" s="6">
        <v>787917.97424137034</v>
      </c>
      <c r="C49" s="6">
        <v>865103.87747254525</v>
      </c>
      <c r="D49" s="6">
        <v>1325255.8654901136</v>
      </c>
      <c r="E49" s="6">
        <f t="shared" si="1"/>
        <v>460151.98801756836</v>
      </c>
      <c r="F49" s="6"/>
      <c r="G49" s="7" t="s">
        <v>50</v>
      </c>
      <c r="H49" s="6">
        <v>403562.30499999999</v>
      </c>
      <c r="I49" s="6">
        <v>443072.80328695953</v>
      </c>
      <c r="J49" s="6">
        <v>38000</v>
      </c>
      <c r="K49" s="6">
        <f t="shared" si="2"/>
        <v>-405072.80328695953</v>
      </c>
      <c r="L49" s="6"/>
    </row>
    <row r="50" spans="1:12" x14ac:dyDescent="0.25">
      <c r="A50" s="7" t="s">
        <v>51</v>
      </c>
      <c r="B50" s="6">
        <v>1081269.0394285447</v>
      </c>
      <c r="C50" s="6">
        <v>1180224.1933234031</v>
      </c>
      <c r="D50" s="6">
        <v>1575361.2945652129</v>
      </c>
      <c r="E50" s="6">
        <f t="shared" si="1"/>
        <v>395137.10124180978</v>
      </c>
      <c r="F50" s="6"/>
      <c r="G50" s="7" t="s">
        <v>52</v>
      </c>
      <c r="H50" s="6">
        <v>1036308.4188272201</v>
      </c>
      <c r="I50" s="6">
        <v>1118067.7117323838</v>
      </c>
      <c r="J50" s="6">
        <v>751528.91999999981</v>
      </c>
      <c r="K50" s="6">
        <f t="shared" si="2"/>
        <v>-366538.79173238401</v>
      </c>
      <c r="L50" s="6"/>
    </row>
    <row r="51" spans="1:12" x14ac:dyDescent="0.25">
      <c r="A51" s="7" t="s">
        <v>53</v>
      </c>
      <c r="B51" s="6">
        <v>250122.70634257342</v>
      </c>
      <c r="C51" s="6">
        <v>265372.60115608358</v>
      </c>
      <c r="D51" s="6">
        <v>595980.34900000005</v>
      </c>
      <c r="E51" s="6">
        <f t="shared" si="1"/>
        <v>330607.74784391647</v>
      </c>
      <c r="F51" s="6"/>
      <c r="G51" s="7" t="s">
        <v>54</v>
      </c>
      <c r="H51" s="6">
        <v>6552768.188609994</v>
      </c>
      <c r="I51" s="6">
        <v>7195275.1540455455</v>
      </c>
      <c r="J51" s="6">
        <v>6979643.0849913238</v>
      </c>
      <c r="K51" s="6">
        <f t="shared" si="2"/>
        <v>-215632.06905422173</v>
      </c>
      <c r="L51" s="6"/>
    </row>
    <row r="52" spans="1:12" x14ac:dyDescent="0.25">
      <c r="A52" s="7" t="s">
        <v>55</v>
      </c>
      <c r="B52" s="6">
        <v>1047250.9327280399</v>
      </c>
      <c r="C52" s="6">
        <v>1146718.0595562137</v>
      </c>
      <c r="D52" s="6">
        <v>1402124.0727673639</v>
      </c>
      <c r="E52" s="6">
        <f t="shared" si="1"/>
        <v>255406.01321115019</v>
      </c>
      <c r="F52" s="6"/>
      <c r="G52" s="7" t="s">
        <v>56</v>
      </c>
      <c r="H52" s="6">
        <v>2281769.9259050437</v>
      </c>
      <c r="I52" s="6">
        <v>2510358.2682443662</v>
      </c>
      <c r="J52" s="6">
        <v>2379797.2632925045</v>
      </c>
      <c r="K52" s="6">
        <f t="shared" si="2"/>
        <v>-130561.00495186169</v>
      </c>
      <c r="L52" s="6"/>
    </row>
    <row r="53" spans="1:12" x14ac:dyDescent="0.25">
      <c r="A53" s="7" t="s">
        <v>57</v>
      </c>
      <c r="B53" s="6">
        <v>189595.55537503742</v>
      </c>
      <c r="C53" s="6">
        <v>208416.6173458405</v>
      </c>
      <c r="D53" s="6">
        <v>333578.6578235419</v>
      </c>
      <c r="E53" s="6">
        <f t="shared" si="1"/>
        <v>125162.0404777014</v>
      </c>
      <c r="F53" s="6"/>
      <c r="G53" s="7" t="s">
        <v>58</v>
      </c>
      <c r="H53" s="6">
        <v>120468.97134808052</v>
      </c>
      <c r="I53" s="6">
        <v>132557.10971606863</v>
      </c>
      <c r="J53" s="6">
        <v>20969.447752317341</v>
      </c>
      <c r="K53" s="6">
        <f t="shared" si="2"/>
        <v>-111587.66196375129</v>
      </c>
      <c r="L53" s="6"/>
    </row>
    <row r="54" spans="1:12" x14ac:dyDescent="0.25">
      <c r="A54" s="7" t="s">
        <v>59</v>
      </c>
      <c r="B54" s="6">
        <v>35576.962500000001</v>
      </c>
      <c r="C54" s="6">
        <v>37531.593955946548</v>
      </c>
      <c r="D54" s="6">
        <v>152743.4745762712</v>
      </c>
      <c r="E54" s="6">
        <f t="shared" si="1"/>
        <v>115211.88062032465</v>
      </c>
      <c r="F54" s="6"/>
      <c r="G54" s="7" t="s">
        <v>60</v>
      </c>
      <c r="H54" s="6">
        <v>185998.57226161737</v>
      </c>
      <c r="I54" s="6">
        <v>204299.65945951885</v>
      </c>
      <c r="J54" s="6">
        <v>94776.724043233306</v>
      </c>
      <c r="K54" s="6">
        <f t="shared" si="2"/>
        <v>-109522.93541628555</v>
      </c>
      <c r="L54" s="6"/>
    </row>
    <row r="55" spans="1:12" x14ac:dyDescent="0.25">
      <c r="A55" s="7" t="s">
        <v>61</v>
      </c>
      <c r="B55" s="6">
        <v>269218.88064693363</v>
      </c>
      <c r="C55" s="6">
        <v>296070.49249754817</v>
      </c>
      <c r="D55" s="6">
        <v>410512.39612769004</v>
      </c>
      <c r="E55" s="6">
        <f t="shared" si="1"/>
        <v>114441.90363014187</v>
      </c>
      <c r="F55" s="6"/>
      <c r="G55" s="7" t="s">
        <v>62</v>
      </c>
      <c r="H55" s="6">
        <v>604831.16726196418</v>
      </c>
      <c r="I55" s="6">
        <v>652420.25918788638</v>
      </c>
      <c r="J55" s="6">
        <v>586020.30520370253</v>
      </c>
      <c r="K55" s="6">
        <f t="shared" si="2"/>
        <v>-66399.953984183841</v>
      </c>
      <c r="L55" s="6"/>
    </row>
    <row r="56" spans="1:12" x14ac:dyDescent="0.25">
      <c r="A56" s="7" t="s">
        <v>63</v>
      </c>
      <c r="B56" s="6">
        <v>2275680</v>
      </c>
      <c r="C56" s="6">
        <v>2501909.6648655371</v>
      </c>
      <c r="D56" s="6">
        <v>2599681.689378371</v>
      </c>
      <c r="E56" s="6">
        <f t="shared" si="1"/>
        <v>97772.024512833916</v>
      </c>
      <c r="F56" s="6"/>
      <c r="G56" s="7" t="s">
        <v>64</v>
      </c>
      <c r="H56" s="6">
        <v>80220.992928192107</v>
      </c>
      <c r="I56" s="6">
        <v>87925.838322273572</v>
      </c>
      <c r="J56" s="6">
        <v>25430.606402661393</v>
      </c>
      <c r="K56" s="6">
        <f t="shared" si="2"/>
        <v>-62495.231919612183</v>
      </c>
      <c r="L56" s="6"/>
    </row>
    <row r="57" spans="1:12" x14ac:dyDescent="0.25">
      <c r="A57" s="7" t="s">
        <v>65</v>
      </c>
      <c r="B57" s="6">
        <v>57252.814142904615</v>
      </c>
      <c r="C57" s="6">
        <v>62997.695431186396</v>
      </c>
      <c r="D57" s="6">
        <v>158776.37321059153</v>
      </c>
      <c r="E57" s="6">
        <f t="shared" si="1"/>
        <v>95778.67777940513</v>
      </c>
      <c r="F57" s="6"/>
      <c r="G57" s="7" t="s">
        <v>66</v>
      </c>
      <c r="H57" s="6">
        <v>248668.76290445638</v>
      </c>
      <c r="I57" s="6">
        <v>272033.68041880854</v>
      </c>
      <c r="J57" s="6">
        <v>217057.60693628585</v>
      </c>
      <c r="K57" s="6">
        <f t="shared" si="2"/>
        <v>-54976.073482522683</v>
      </c>
      <c r="L57" s="6"/>
    </row>
    <row r="58" spans="1:12" x14ac:dyDescent="0.25">
      <c r="A58" s="7" t="s">
        <v>67</v>
      </c>
      <c r="B58" s="6">
        <v>107826.33696189984</v>
      </c>
      <c r="C58" s="6">
        <v>118611.83348175029</v>
      </c>
      <c r="D58" s="6">
        <v>207987.21348175028</v>
      </c>
      <c r="E58" s="6">
        <f t="shared" si="1"/>
        <v>89375.37999999999</v>
      </c>
      <c r="F58" s="6"/>
      <c r="G58" s="7" t="s">
        <v>68</v>
      </c>
      <c r="H58" s="6">
        <v>47400</v>
      </c>
      <c r="I58" s="6">
        <v>52156.226870959872</v>
      </c>
      <c r="J58" s="6">
        <v>0</v>
      </c>
      <c r="K58" s="6">
        <f t="shared" si="2"/>
        <v>-52156.226870959872</v>
      </c>
      <c r="L58" s="6"/>
    </row>
    <row r="59" spans="1:12" x14ac:dyDescent="0.25">
      <c r="A59" s="7" t="s">
        <v>69</v>
      </c>
      <c r="B59" s="6">
        <v>375221.55324750004</v>
      </c>
      <c r="C59" s="6">
        <v>408621.10441633413</v>
      </c>
      <c r="D59" s="6">
        <v>487685.09721314698</v>
      </c>
      <c r="E59" s="6">
        <f t="shared" si="1"/>
        <v>79063.992796812847</v>
      </c>
      <c r="F59" s="6"/>
      <c r="G59" s="7" t="s">
        <v>70</v>
      </c>
      <c r="H59" s="6">
        <v>323000</v>
      </c>
      <c r="I59" s="6">
        <v>354939.64977887005</v>
      </c>
      <c r="J59" s="6">
        <v>305485.09274884663</v>
      </c>
      <c r="K59" s="6">
        <f t="shared" si="2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1"/>
        <v>73379.11940467963</v>
      </c>
      <c r="F60" s="6"/>
      <c r="G60" s="7" t="s">
        <v>72</v>
      </c>
      <c r="H60" s="6">
        <v>44902.619999999995</v>
      </c>
      <c r="I60" s="6">
        <v>49408.253920263705</v>
      </c>
      <c r="J60" s="6">
        <v>0</v>
      </c>
      <c r="K60" s="6">
        <f t="shared" si="2"/>
        <v>-49408.253920263705</v>
      </c>
      <c r="L60" s="6"/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1"/>
        <v>67405.212924658787</v>
      </c>
      <c r="F61" s="6"/>
      <c r="G61" s="7" t="s">
        <v>74</v>
      </c>
      <c r="H61" s="6">
        <v>53834.780352640009</v>
      </c>
      <c r="I61" s="6">
        <v>59225.322341151899</v>
      </c>
      <c r="J61" s="6">
        <v>21171.357934263768</v>
      </c>
      <c r="K61" s="6">
        <f t="shared" si="2"/>
        <v>-38053.964406888132</v>
      </c>
      <c r="L61" s="6"/>
    </row>
    <row r="62" spans="1:12" x14ac:dyDescent="0.25">
      <c r="A62" s="7" t="s">
        <v>75</v>
      </c>
      <c r="B62" s="6">
        <v>632186.92102385126</v>
      </c>
      <c r="C62" s="6">
        <v>694336.65689924359</v>
      </c>
      <c r="D62" s="6">
        <v>757558.8628992436</v>
      </c>
      <c r="E62" s="6">
        <f t="shared" si="1"/>
        <v>63222.206000000006</v>
      </c>
      <c r="F62" s="6"/>
      <c r="G62" s="7" t="s">
        <v>76</v>
      </c>
      <c r="H62" s="6">
        <v>5441345.7542000003</v>
      </c>
      <c r="I62" s="6">
        <v>5962535.341289294</v>
      </c>
      <c r="J62" s="6">
        <v>5925790.8540378427</v>
      </c>
      <c r="K62" s="6">
        <f t="shared" si="2"/>
        <v>-36744.487251451239</v>
      </c>
      <c r="L62" s="6"/>
    </row>
    <row r="63" spans="1:12" x14ac:dyDescent="0.25">
      <c r="A63" s="7" t="s">
        <v>77</v>
      </c>
      <c r="B63" s="6">
        <v>83429.153030534027</v>
      </c>
      <c r="C63" s="6">
        <v>87642.37777688996</v>
      </c>
      <c r="D63" s="6">
        <v>145298.356</v>
      </c>
      <c r="E63" s="6">
        <f t="shared" si="1"/>
        <v>57655.97822311004</v>
      </c>
      <c r="F63" s="6"/>
      <c r="G63" s="7" t="s">
        <v>78</v>
      </c>
      <c r="H63" s="6">
        <v>233600</v>
      </c>
      <c r="I63" s="6">
        <v>256894.32588197562</v>
      </c>
      <c r="J63" s="6">
        <v>222076.63375866329</v>
      </c>
      <c r="K63" s="6">
        <f t="shared" si="2"/>
        <v>-34817.692123312328</v>
      </c>
      <c r="L63" s="6"/>
    </row>
    <row r="64" spans="1:12" x14ac:dyDescent="0.25">
      <c r="A64" s="7" t="s">
        <v>79</v>
      </c>
      <c r="B64" s="6">
        <v>2215133.855</v>
      </c>
      <c r="C64" s="6">
        <v>2437361.9630886614</v>
      </c>
      <c r="D64" s="6">
        <v>2483861.9630886614</v>
      </c>
      <c r="E64" s="6">
        <f t="shared" si="1"/>
        <v>46500</v>
      </c>
      <c r="F64" s="6"/>
      <c r="G64" s="7" t="s">
        <v>80</v>
      </c>
      <c r="H64" s="6">
        <v>47400</v>
      </c>
      <c r="I64" s="6">
        <v>52074.601313139894</v>
      </c>
      <c r="J64" s="6">
        <v>17801.34</v>
      </c>
      <c r="K64" s="6">
        <f t="shared" si="2"/>
        <v>-34273.261313139898</v>
      </c>
      <c r="L64" s="6"/>
    </row>
    <row r="65" spans="1:12" x14ac:dyDescent="0.25">
      <c r="A65" s="7" t="s">
        <v>81</v>
      </c>
      <c r="B65" s="6">
        <v>10819.4375</v>
      </c>
      <c r="C65" s="6">
        <v>11746.223671956868</v>
      </c>
      <c r="D65" s="6">
        <v>57845.723506970426</v>
      </c>
      <c r="E65" s="6">
        <f t="shared" si="1"/>
        <v>46099.499835013557</v>
      </c>
      <c r="F65" s="6"/>
      <c r="G65" s="7" t="s">
        <v>82</v>
      </c>
      <c r="H65" s="6">
        <v>650000.02933333337</v>
      </c>
      <c r="I65" s="6">
        <v>713899.37372633582</v>
      </c>
      <c r="J65" s="6">
        <v>682129.99926643865</v>
      </c>
      <c r="K65" s="6">
        <f t="shared" si="2"/>
        <v>-31769.374459897168</v>
      </c>
      <c r="L65" s="6"/>
    </row>
    <row r="66" spans="1:12" x14ac:dyDescent="0.25">
      <c r="A66" s="7" t="s">
        <v>83</v>
      </c>
      <c r="B66" s="6">
        <v>522720</v>
      </c>
      <c r="C66" s="6">
        <v>574204.25532855326</v>
      </c>
      <c r="D66" s="6">
        <v>615351.79254456575</v>
      </c>
      <c r="E66" s="6">
        <f t="shared" si="1"/>
        <v>41147.537216012483</v>
      </c>
      <c r="F66" s="6"/>
      <c r="G66" s="7" t="s">
        <v>84</v>
      </c>
      <c r="H66" s="6">
        <v>16719.925000000003</v>
      </c>
      <c r="I66" s="6">
        <v>18397.641383237002</v>
      </c>
      <c r="J66" s="6">
        <v>0</v>
      </c>
      <c r="K66" s="6">
        <f t="shared" si="2"/>
        <v>-18397.641383237002</v>
      </c>
      <c r="L66" s="6"/>
    </row>
    <row r="67" spans="1:12" x14ac:dyDescent="0.25">
      <c r="A67" s="7" t="s">
        <v>85</v>
      </c>
      <c r="B67" s="6">
        <v>384590.41845262051</v>
      </c>
      <c r="C67" s="6">
        <v>423181.12061629252</v>
      </c>
      <c r="D67" s="6">
        <v>463935.39261629252</v>
      </c>
      <c r="E67" s="6">
        <f t="shared" si="1"/>
        <v>40754.271999999997</v>
      </c>
      <c r="F67" s="6"/>
      <c r="G67" s="7" t="s">
        <v>86</v>
      </c>
      <c r="H67" s="6">
        <v>245360</v>
      </c>
      <c r="I67" s="6">
        <v>269418.21170744422</v>
      </c>
      <c r="J67" s="6">
        <v>252978.05884730394</v>
      </c>
      <c r="K67" s="6">
        <f t="shared" si="2"/>
        <v>-16440.152860140282</v>
      </c>
      <c r="L67" s="6"/>
    </row>
    <row r="68" spans="1:12" x14ac:dyDescent="0.25">
      <c r="A68" s="7" t="s">
        <v>87</v>
      </c>
      <c r="B68" s="6">
        <v>250000</v>
      </c>
      <c r="C68" s="6">
        <v>258670.94652034686</v>
      </c>
      <c r="D68" s="6">
        <v>281709.36</v>
      </c>
      <c r="E68" s="6">
        <f t="shared" si="1"/>
        <v>23038.413479653129</v>
      </c>
      <c r="F68" s="6"/>
      <c r="G68" s="7" t="s">
        <v>88</v>
      </c>
      <c r="H68" s="6">
        <v>26100</v>
      </c>
      <c r="I68" s="6">
        <v>28496.159208931313</v>
      </c>
      <c r="J68" s="6">
        <v>12192.85</v>
      </c>
      <c r="K68" s="6">
        <f t="shared" si="2"/>
        <v>-16303.309208931312</v>
      </c>
      <c r="L68" s="6"/>
    </row>
    <row r="69" spans="1:12" x14ac:dyDescent="0.25">
      <c r="A69" s="7" t="s">
        <v>89</v>
      </c>
      <c r="B69" s="6">
        <v>52787.786047755486</v>
      </c>
      <c r="C69" s="6">
        <v>58084.635973046934</v>
      </c>
      <c r="D69" s="6">
        <v>77678.225973046923</v>
      </c>
      <c r="E69" s="6">
        <f t="shared" si="1"/>
        <v>19593.589999999989</v>
      </c>
      <c r="F69" s="6"/>
      <c r="G69" s="7" t="s">
        <v>90</v>
      </c>
      <c r="H69" s="6">
        <v>379507.65</v>
      </c>
      <c r="I69" s="6">
        <v>416024.08795748133</v>
      </c>
      <c r="J69" s="6">
        <v>400158.23616089963</v>
      </c>
      <c r="K69" s="6">
        <f t="shared" si="2"/>
        <v>-15865.851796581701</v>
      </c>
      <c r="L69" s="6"/>
    </row>
    <row r="70" spans="1:12" x14ac:dyDescent="0.25">
      <c r="A70" s="7" t="s">
        <v>91</v>
      </c>
      <c r="B70" s="6">
        <v>400765.48</v>
      </c>
      <c r="C70" s="6">
        <v>439474.50785192783</v>
      </c>
      <c r="D70" s="6">
        <v>457993.70436862484</v>
      </c>
      <c r="E70" s="6">
        <f t="shared" si="1"/>
        <v>18519.196516697004</v>
      </c>
      <c r="F70" s="6"/>
      <c r="G70" s="7" t="s">
        <v>92</v>
      </c>
      <c r="H70" s="6">
        <v>90222.908418788778</v>
      </c>
      <c r="I70" s="6">
        <v>96636.264678799052</v>
      </c>
      <c r="J70" s="6">
        <v>85001.203459137629</v>
      </c>
      <c r="K70" s="6">
        <f t="shared" si="2"/>
        <v>-11635.061219661424</v>
      </c>
      <c r="L70" s="6"/>
    </row>
    <row r="71" spans="1:12" x14ac:dyDescent="0.25">
      <c r="A71" s="7" t="s">
        <v>93</v>
      </c>
      <c r="B71" s="6">
        <v>351700</v>
      </c>
      <c r="C71" s="6">
        <v>385920.15217851364</v>
      </c>
      <c r="D71" s="6">
        <v>401516.94060296775</v>
      </c>
      <c r="E71" s="6">
        <f t="shared" si="1"/>
        <v>15596.788424454106</v>
      </c>
      <c r="F71" s="6"/>
      <c r="G71" s="7" t="s">
        <v>94</v>
      </c>
      <c r="H71" s="6">
        <v>11403.052082228009</v>
      </c>
      <c r="I71" s="6">
        <v>12443.789295922272</v>
      </c>
      <c r="J71" s="6">
        <v>2500</v>
      </c>
      <c r="K71" s="6">
        <f t="shared" si="2"/>
        <v>-9943.7892959222718</v>
      </c>
      <c r="L71" s="6"/>
    </row>
    <row r="72" spans="1:12" ht="30" x14ac:dyDescent="0.25">
      <c r="A72" s="7" t="s">
        <v>95</v>
      </c>
      <c r="B72" s="6">
        <v>75836.522803676606</v>
      </c>
      <c r="C72" s="6">
        <v>83446.136887199988</v>
      </c>
      <c r="D72" s="6">
        <v>90532.932887199975</v>
      </c>
      <c r="E72" s="6">
        <f t="shared" si="1"/>
        <v>7086.7959999999875</v>
      </c>
      <c r="F72" s="6"/>
      <c r="G72" s="7" t="s">
        <v>96</v>
      </c>
      <c r="H72" s="6">
        <v>3600</v>
      </c>
      <c r="I72" s="6">
        <v>3961.2324205792306</v>
      </c>
      <c r="J72" s="6">
        <v>0</v>
      </c>
      <c r="K72" s="6">
        <f t="shared" si="2"/>
        <v>-3961.2324205792306</v>
      </c>
      <c r="L72" s="6"/>
    </row>
    <row r="73" spans="1:12" x14ac:dyDescent="0.25">
      <c r="A73" s="7" t="s">
        <v>97</v>
      </c>
      <c r="B73" s="6">
        <v>1288479.01</v>
      </c>
      <c r="C73" s="6">
        <v>1417768.0076799537</v>
      </c>
      <c r="D73" s="6">
        <v>1423409.2376799537</v>
      </c>
      <c r="E73" s="6">
        <f t="shared" si="1"/>
        <v>5641.2299999999814</v>
      </c>
      <c r="F73" s="6"/>
      <c r="G73" s="7" t="s">
        <v>98</v>
      </c>
      <c r="H73" s="6">
        <v>29550.53354690081</v>
      </c>
      <c r="I73" s="6">
        <v>32515.204598170272</v>
      </c>
      <c r="J73" s="6">
        <v>29009.887637604497</v>
      </c>
      <c r="K73" s="6">
        <f t="shared" si="2"/>
        <v>-3505.3169605657749</v>
      </c>
      <c r="L73" s="6"/>
    </row>
    <row r="74" spans="1:12" x14ac:dyDescent="0.25">
      <c r="A74" s="7" t="s">
        <v>99</v>
      </c>
      <c r="B74" s="6">
        <v>69401.564133824344</v>
      </c>
      <c r="C74" s="6">
        <v>76347.999948027136</v>
      </c>
      <c r="D74" s="6">
        <v>81865.739948027127</v>
      </c>
      <c r="E74" s="6">
        <f t="shared" si="1"/>
        <v>5517.7399999999907</v>
      </c>
      <c r="F74" s="6"/>
      <c r="G74" s="7" t="s">
        <v>100</v>
      </c>
      <c r="H74" s="6">
        <v>101074.42118806772</v>
      </c>
      <c r="I74" s="6">
        <v>111216.46502818173</v>
      </c>
      <c r="J74" s="6">
        <v>108757.64962313166</v>
      </c>
      <c r="K74" s="6">
        <f t="shared" si="2"/>
        <v>-2458.8154050500743</v>
      </c>
      <c r="L74" s="6"/>
    </row>
    <row r="75" spans="1:12" x14ac:dyDescent="0.25">
      <c r="A75" s="7" t="s">
        <v>101</v>
      </c>
      <c r="B75" s="6">
        <v>25747.928568365201</v>
      </c>
      <c r="C75" s="6">
        <v>28287.134418739417</v>
      </c>
      <c r="D75" s="6">
        <v>32143.734751860236</v>
      </c>
      <c r="E75" s="6">
        <f t="shared" si="1"/>
        <v>3856.6003331208194</v>
      </c>
      <c r="F75" s="6"/>
      <c r="G75" s="7" t="s">
        <v>102</v>
      </c>
      <c r="H75" s="6">
        <v>17815.142836013587</v>
      </c>
      <c r="I75" s="6">
        <v>19602.755938685234</v>
      </c>
      <c r="J75" s="6">
        <v>17858.41959306084</v>
      </c>
      <c r="K75" s="6">
        <f t="shared" si="2"/>
        <v>-1744.3363456243933</v>
      </c>
      <c r="L75" s="6"/>
    </row>
    <row r="76" spans="1:12" x14ac:dyDescent="0.25">
      <c r="A76" s="7" t="s">
        <v>103</v>
      </c>
      <c r="B76" s="6">
        <v>1335561.9885516798</v>
      </c>
      <c r="C76" s="6">
        <v>1469098.643101532</v>
      </c>
      <c r="D76" s="6">
        <v>1472298.643101532</v>
      </c>
      <c r="E76" s="6">
        <f t="shared" si="1"/>
        <v>3200</v>
      </c>
      <c r="F76" s="6"/>
      <c r="G76" s="7" t="s">
        <v>104</v>
      </c>
      <c r="H76" s="6">
        <v>40840.894970129266</v>
      </c>
      <c r="I76" s="6">
        <v>44938.96590031869</v>
      </c>
      <c r="J76" s="6">
        <v>43629.69394239071</v>
      </c>
      <c r="K76" s="6">
        <f t="shared" si="2"/>
        <v>-1309.2719579279801</v>
      </c>
      <c r="L76" s="6"/>
    </row>
    <row r="77" spans="1:12" x14ac:dyDescent="0.25">
      <c r="A77" s="7" t="s">
        <v>105</v>
      </c>
      <c r="B77" s="6">
        <v>47400</v>
      </c>
      <c r="C77" s="6">
        <v>52147.935404396259</v>
      </c>
      <c r="D77" s="6">
        <v>54956.226870959872</v>
      </c>
      <c r="E77" s="6">
        <f t="shared" si="1"/>
        <v>2808.2914665636126</v>
      </c>
      <c r="F77" s="6"/>
      <c r="G77" s="7" t="s">
        <v>106</v>
      </c>
      <c r="H77" s="6">
        <v>3994.042474296928</v>
      </c>
      <c r="I77" s="6">
        <v>4394.8140384320786</v>
      </c>
      <c r="J77" s="6">
        <v>4009.2261092732724</v>
      </c>
      <c r="K77" s="6">
        <f t="shared" si="2"/>
        <v>-385.58792915880622</v>
      </c>
      <c r="L77" s="6"/>
    </row>
    <row r="78" spans="1:12" x14ac:dyDescent="0.25">
      <c r="A78" s="7" t="s">
        <v>107</v>
      </c>
      <c r="B78" s="6">
        <v>41837.040000000001</v>
      </c>
      <c r="C78" s="6">
        <v>46035.066452519481</v>
      </c>
      <c r="D78" s="6">
        <v>47172.816452519481</v>
      </c>
      <c r="E78" s="6">
        <f t="shared" si="1"/>
        <v>1137.75</v>
      </c>
      <c r="F78" s="6"/>
      <c r="G78" s="7" t="s">
        <v>108</v>
      </c>
      <c r="H78" s="6">
        <v>163896.06145440001</v>
      </c>
      <c r="I78" s="6">
        <v>180341.77562178206</v>
      </c>
      <c r="J78" s="6">
        <v>180057.82562178205</v>
      </c>
      <c r="K78" s="6">
        <f t="shared" si="2"/>
        <v>-283.95000000001164</v>
      </c>
      <c r="L78" s="6"/>
    </row>
    <row r="79" spans="1:12" x14ac:dyDescent="0.25">
      <c r="A79" s="7" t="s">
        <v>109</v>
      </c>
      <c r="B79" s="6">
        <v>176569.91140400001</v>
      </c>
      <c r="C79" s="6">
        <v>194287.34932009096</v>
      </c>
      <c r="D79" s="6">
        <v>195117.77932009095</v>
      </c>
      <c r="E79" s="6">
        <f t="shared" si="1"/>
        <v>830.42999999999302</v>
      </c>
      <c r="F79" s="6"/>
      <c r="G79" s="7" t="s">
        <v>110</v>
      </c>
      <c r="H79" s="6">
        <v>24084.091797531873</v>
      </c>
      <c r="I79" s="6">
        <v>26500.745902386003</v>
      </c>
      <c r="J79" s="6">
        <v>26265.328378057136</v>
      </c>
      <c r="K79" s="6">
        <f t="shared" si="2"/>
        <v>-235.41752432886642</v>
      </c>
      <c r="L79" s="6"/>
    </row>
    <row r="80" spans="1:12" x14ac:dyDescent="0.25">
      <c r="A80" s="7" t="s">
        <v>111</v>
      </c>
      <c r="B80" s="6">
        <v>1818749.1038897291</v>
      </c>
      <c r="C80" s="6">
        <v>2001244.0463697994</v>
      </c>
      <c r="D80" s="6">
        <v>2001805.8431187263</v>
      </c>
      <c r="E80" s="6">
        <f t="shared" si="1"/>
        <v>561.79674892686307</v>
      </c>
      <c r="F80" s="6"/>
      <c r="G80" s="7" t="s">
        <v>112</v>
      </c>
      <c r="H80" s="6">
        <v>8420.2799999999988</v>
      </c>
      <c r="I80" s="6">
        <v>9265.190590654136</v>
      </c>
      <c r="J80" s="6">
        <v>9265.190590654136</v>
      </c>
      <c r="K80" s="6">
        <f t="shared" si="2"/>
        <v>0</v>
      </c>
      <c r="L80" s="6"/>
    </row>
    <row r="81" spans="1:12" x14ac:dyDescent="0.25">
      <c r="A81" s="7" t="s">
        <v>113</v>
      </c>
      <c r="B81" s="6">
        <v>220000</v>
      </c>
      <c r="C81" s="6">
        <v>241952.54893491842</v>
      </c>
      <c r="D81" s="6">
        <v>242369.70315291287</v>
      </c>
      <c r="E81" s="6">
        <f t="shared" si="1"/>
        <v>417.15421799445176</v>
      </c>
      <c r="F81" s="6"/>
      <c r="G81" s="7" t="s">
        <v>114</v>
      </c>
      <c r="H81" s="6">
        <v>1425.06</v>
      </c>
      <c r="I81" s="6">
        <v>1568.0538536862887</v>
      </c>
      <c r="J81" s="6">
        <v>1568.0538536862887</v>
      </c>
      <c r="K81" s="6">
        <f t="shared" si="2"/>
        <v>0</v>
      </c>
      <c r="L81" s="6"/>
    </row>
    <row r="82" spans="1:12" x14ac:dyDescent="0.25">
      <c r="A82" s="7"/>
      <c r="B82" s="6"/>
      <c r="C82" s="6"/>
      <c r="D82" s="6"/>
      <c r="E82" s="6">
        <f t="shared" si="1"/>
        <v>0</v>
      </c>
      <c r="F82" s="6"/>
      <c r="G82" s="7"/>
      <c r="H82" s="6"/>
      <c r="I82" s="6"/>
      <c r="J82" s="6"/>
      <c r="K82" s="6">
        <f t="shared" si="2"/>
        <v>0</v>
      </c>
      <c r="L82" s="6"/>
    </row>
  </sheetData>
  <mergeCells count="12">
    <mergeCell ref="C7:D7"/>
    <mergeCell ref="C8:D8"/>
    <mergeCell ref="A10:B10"/>
    <mergeCell ref="D10:F10"/>
    <mergeCell ref="A46:F46"/>
    <mergeCell ref="G46:L46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E102-7F19-4659-9D95-B73BC8DD4E3F}">
  <dimension ref="A1:L82"/>
  <sheetViews>
    <sheetView showGridLines="0" zoomScale="85" zoomScaleNormal="85" workbookViewId="0">
      <selection activeCell="A25" sqref="A25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/>
      <c r="C2" s="28"/>
      <c r="D2" s="20"/>
    </row>
    <row r="3" spans="1:6" x14ac:dyDescent="0.25">
      <c r="A3" s="1" t="s">
        <v>23</v>
      </c>
      <c r="B3" s="2"/>
      <c r="C3" s="19"/>
      <c r="D3" s="20"/>
    </row>
    <row r="4" spans="1:6" x14ac:dyDescent="0.25">
      <c r="A4" s="1" t="s">
        <v>24</v>
      </c>
      <c r="B4" s="2"/>
      <c r="C4" s="19"/>
      <c r="D4" s="20"/>
    </row>
    <row r="5" spans="1:6" x14ac:dyDescent="0.25">
      <c r="A5" s="1" t="s">
        <v>25</v>
      </c>
      <c r="B5" s="2"/>
      <c r="C5" s="19"/>
      <c r="D5" s="20"/>
    </row>
    <row r="6" spans="1:6" x14ac:dyDescent="0.25">
      <c r="A6" s="1" t="s">
        <v>26</v>
      </c>
      <c r="B6" s="2"/>
      <c r="C6" s="19"/>
      <c r="D6" s="20"/>
    </row>
    <row r="7" spans="1:6" x14ac:dyDescent="0.25">
      <c r="A7" s="1" t="s">
        <v>27</v>
      </c>
      <c r="B7" s="2"/>
      <c r="C7" s="19"/>
      <c r="D7" s="20"/>
    </row>
    <row r="8" spans="1:6" x14ac:dyDescent="0.25">
      <c r="A8" s="1" t="s">
        <v>18</v>
      </c>
      <c r="B8" s="2"/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46023</v>
      </c>
      <c r="B12" s="11"/>
      <c r="D12" s="4">
        <v>46023</v>
      </c>
      <c r="E12" s="6"/>
      <c r="F12" s="6"/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29</v>
      </c>
      <c r="B27" s="3" t="s">
        <v>34</v>
      </c>
      <c r="C27" s="3" t="s">
        <v>35</v>
      </c>
      <c r="D27" s="3" t="s">
        <v>36</v>
      </c>
      <c r="E27" s="3" t="s">
        <v>37</v>
      </c>
      <c r="F27" s="9"/>
      <c r="G27" s="9"/>
      <c r="H27" s="9"/>
    </row>
    <row r="28" spans="1:8" ht="15" customHeight="1" x14ac:dyDescent="0.25">
      <c r="A28" s="4">
        <v>45809</v>
      </c>
      <c r="B28" s="15"/>
      <c r="C28" s="16"/>
      <c r="D28" s="16"/>
      <c r="E28" s="16"/>
      <c r="F28" s="9"/>
      <c r="G28" s="9"/>
      <c r="H28" s="9"/>
    </row>
    <row r="29" spans="1:8" ht="15" customHeight="1" x14ac:dyDescent="0.25">
      <c r="A29" s="4">
        <v>45839</v>
      </c>
      <c r="B29" s="15"/>
      <c r="C29" s="16"/>
      <c r="D29" s="16"/>
      <c r="E29" s="16"/>
      <c r="F29" s="9"/>
      <c r="G29" s="9"/>
      <c r="H29" s="9"/>
    </row>
    <row r="30" spans="1:8" ht="15" customHeight="1" x14ac:dyDescent="0.25">
      <c r="A30" s="4">
        <v>45870</v>
      </c>
      <c r="B30" s="15"/>
      <c r="C30" s="16"/>
      <c r="D30" s="16"/>
      <c r="E30" s="16"/>
      <c r="F30" s="9"/>
      <c r="G30" s="9"/>
      <c r="H30" s="9"/>
    </row>
    <row r="31" spans="1:8" ht="15" customHeight="1" x14ac:dyDescent="0.25">
      <c r="A31" s="4">
        <v>45901</v>
      </c>
      <c r="B31" s="15"/>
      <c r="C31" s="16"/>
      <c r="D31" s="16"/>
      <c r="E31" s="16"/>
      <c r="F31" s="9"/>
      <c r="G31" s="9"/>
      <c r="H31" s="9"/>
    </row>
    <row r="32" spans="1:8" ht="15" customHeight="1" x14ac:dyDescent="0.25">
      <c r="A32" s="4">
        <v>45931</v>
      </c>
      <c r="B32" s="15"/>
      <c r="C32" s="16"/>
      <c r="D32" s="16"/>
      <c r="E32" s="16"/>
      <c r="F32" s="9"/>
      <c r="G32" s="9"/>
      <c r="H32" s="9"/>
    </row>
    <row r="33" spans="1:12" ht="15" customHeight="1" x14ac:dyDescent="0.25">
      <c r="A33" s="4">
        <v>45962</v>
      </c>
      <c r="B33" s="15"/>
      <c r="C33" s="16"/>
      <c r="D33" s="16"/>
      <c r="E33" s="16"/>
      <c r="F33" s="9"/>
      <c r="G33" s="9"/>
      <c r="H33" s="9"/>
    </row>
    <row r="34" spans="1:12" ht="15" customHeight="1" x14ac:dyDescent="0.25">
      <c r="A34" s="4">
        <v>45992</v>
      </c>
      <c r="B34" s="15"/>
      <c r="C34" s="16"/>
      <c r="D34" s="16"/>
      <c r="E34" s="16"/>
      <c r="F34" s="9"/>
      <c r="G34" s="9"/>
      <c r="H34" s="9"/>
    </row>
    <row r="35" spans="1:12" ht="15" customHeight="1" x14ac:dyDescent="0.25">
      <c r="A35" s="4">
        <v>46023</v>
      </c>
      <c r="B35" s="15"/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46054</v>
      </c>
      <c r="B36" s="15"/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46082</v>
      </c>
      <c r="B37" s="15"/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46113</v>
      </c>
      <c r="B38" s="15"/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46143</v>
      </c>
      <c r="B39" s="15"/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46174</v>
      </c>
      <c r="B40" s="15"/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46204</v>
      </c>
      <c r="B41" s="15"/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46235</v>
      </c>
      <c r="B42" s="15"/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46266</v>
      </c>
      <c r="B43" s="15"/>
      <c r="C43" s="16"/>
      <c r="D43" s="16"/>
      <c r="E43" s="16"/>
      <c r="F43" s="9"/>
      <c r="G43" s="9"/>
      <c r="H43" s="9"/>
    </row>
    <row r="45" spans="1:12" ht="15" customHeight="1" x14ac:dyDescent="0.25">
      <c r="A45" s="8" t="s">
        <v>38</v>
      </c>
    </row>
    <row r="46" spans="1:12" ht="15.75" x14ac:dyDescent="0.25">
      <c r="A46" s="23" t="s">
        <v>39</v>
      </c>
      <c r="B46" s="24"/>
      <c r="C46" s="24"/>
      <c r="D46" s="24"/>
      <c r="E46" s="24"/>
      <c r="F46" s="25"/>
      <c r="G46" s="26" t="s">
        <v>40</v>
      </c>
      <c r="H46" s="27"/>
      <c r="I46" s="27"/>
      <c r="J46" s="27"/>
      <c r="K46" s="27"/>
      <c r="L46" s="27"/>
    </row>
    <row r="47" spans="1:12" ht="25.5" x14ac:dyDescent="0.25">
      <c r="A47" s="3" t="s">
        <v>41</v>
      </c>
      <c r="B47" s="3" t="s">
        <v>42</v>
      </c>
      <c r="C47" s="3" t="s">
        <v>43</v>
      </c>
      <c r="D47" s="3" t="s">
        <v>44</v>
      </c>
      <c r="E47" s="3" t="s">
        <v>45</v>
      </c>
      <c r="F47" s="3" t="s">
        <v>46</v>
      </c>
      <c r="G47" s="3" t="s">
        <v>41</v>
      </c>
      <c r="H47" s="3" t="s">
        <v>42</v>
      </c>
      <c r="I47" s="3" t="s">
        <v>43</v>
      </c>
      <c r="J47" s="3" t="s">
        <v>44</v>
      </c>
      <c r="K47" s="3" t="s">
        <v>45</v>
      </c>
      <c r="L47" s="3" t="s">
        <v>46</v>
      </c>
    </row>
    <row r="48" spans="1:12" x14ac:dyDescent="0.25">
      <c r="A48" s="7" t="s">
        <v>47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0">D48-C48</f>
        <v>505220.25128706032</v>
      </c>
      <c r="F48" s="6"/>
      <c r="G48" s="7" t="s">
        <v>48</v>
      </c>
      <c r="H48" s="6">
        <v>1101312</v>
      </c>
      <c r="I48" s="6">
        <v>1210536.6124694173</v>
      </c>
      <c r="J48" s="6">
        <v>533173.59053115034</v>
      </c>
      <c r="K48" s="6">
        <f t="shared" ref="K48:K82" si="1">J48-I48</f>
        <v>-677363.02193826693</v>
      </c>
      <c r="L48" s="6"/>
    </row>
    <row r="49" spans="1:12" x14ac:dyDescent="0.25">
      <c r="A49" s="7" t="s">
        <v>49</v>
      </c>
      <c r="B49" s="6">
        <v>787917.97424137034</v>
      </c>
      <c r="C49" s="6">
        <v>865103.87747254525</v>
      </c>
      <c r="D49" s="6">
        <v>1325255.8654901136</v>
      </c>
      <c r="E49" s="6">
        <f t="shared" si="0"/>
        <v>460151.98801756836</v>
      </c>
      <c r="F49" s="6"/>
      <c r="G49" s="7" t="s">
        <v>50</v>
      </c>
      <c r="H49" s="6">
        <v>403562.30499999999</v>
      </c>
      <c r="I49" s="6">
        <v>443072.80328695953</v>
      </c>
      <c r="J49" s="6">
        <v>38000</v>
      </c>
      <c r="K49" s="6">
        <f t="shared" si="1"/>
        <v>-405072.80328695953</v>
      </c>
      <c r="L49" s="6"/>
    </row>
    <row r="50" spans="1:12" x14ac:dyDescent="0.25">
      <c r="A50" s="7" t="s">
        <v>51</v>
      </c>
      <c r="B50" s="6">
        <v>1081269.0394285447</v>
      </c>
      <c r="C50" s="6">
        <v>1180224.1933234031</v>
      </c>
      <c r="D50" s="6">
        <v>1575361.2945652129</v>
      </c>
      <c r="E50" s="6">
        <f t="shared" si="0"/>
        <v>395137.10124180978</v>
      </c>
      <c r="F50" s="6"/>
      <c r="G50" s="7" t="s">
        <v>52</v>
      </c>
      <c r="H50" s="6">
        <v>1036308.4188272201</v>
      </c>
      <c r="I50" s="6">
        <v>1118067.7117323838</v>
      </c>
      <c r="J50" s="6">
        <v>751528.91999999981</v>
      </c>
      <c r="K50" s="6">
        <f t="shared" si="1"/>
        <v>-366538.79173238401</v>
      </c>
      <c r="L50" s="6"/>
    </row>
    <row r="51" spans="1:12" x14ac:dyDescent="0.25">
      <c r="A51" s="7" t="s">
        <v>53</v>
      </c>
      <c r="B51" s="6">
        <v>250122.70634257342</v>
      </c>
      <c r="C51" s="6">
        <v>265372.60115608358</v>
      </c>
      <c r="D51" s="6">
        <v>595980.34900000005</v>
      </c>
      <c r="E51" s="6">
        <f t="shared" si="0"/>
        <v>330607.74784391647</v>
      </c>
      <c r="F51" s="6"/>
      <c r="G51" s="7" t="s">
        <v>54</v>
      </c>
      <c r="H51" s="6">
        <v>6552768.188609994</v>
      </c>
      <c r="I51" s="6">
        <v>7195275.1540455455</v>
      </c>
      <c r="J51" s="6">
        <v>6979643.0849913238</v>
      </c>
      <c r="K51" s="6">
        <f t="shared" si="1"/>
        <v>-215632.06905422173</v>
      </c>
      <c r="L51" s="6"/>
    </row>
    <row r="52" spans="1:12" x14ac:dyDescent="0.25">
      <c r="A52" s="7" t="s">
        <v>55</v>
      </c>
      <c r="B52" s="6">
        <v>1047250.9327280399</v>
      </c>
      <c r="C52" s="6">
        <v>1146718.0595562137</v>
      </c>
      <c r="D52" s="6">
        <v>1402124.0727673639</v>
      </c>
      <c r="E52" s="6">
        <f t="shared" si="0"/>
        <v>255406.01321115019</v>
      </c>
      <c r="F52" s="6"/>
      <c r="G52" s="7" t="s">
        <v>56</v>
      </c>
      <c r="H52" s="6">
        <v>2281769.9259050437</v>
      </c>
      <c r="I52" s="6">
        <v>2510358.2682443662</v>
      </c>
      <c r="J52" s="6">
        <v>2379797.2632925045</v>
      </c>
      <c r="K52" s="6">
        <f t="shared" si="1"/>
        <v>-130561.00495186169</v>
      </c>
      <c r="L52" s="6"/>
    </row>
    <row r="53" spans="1:12" x14ac:dyDescent="0.25">
      <c r="A53" s="7" t="s">
        <v>57</v>
      </c>
      <c r="B53" s="6">
        <v>189595.55537503742</v>
      </c>
      <c r="C53" s="6">
        <v>208416.6173458405</v>
      </c>
      <c r="D53" s="6">
        <v>333578.6578235419</v>
      </c>
      <c r="E53" s="6">
        <f t="shared" si="0"/>
        <v>125162.0404777014</v>
      </c>
      <c r="F53" s="6"/>
      <c r="G53" s="7" t="s">
        <v>58</v>
      </c>
      <c r="H53" s="6">
        <v>120468.97134808052</v>
      </c>
      <c r="I53" s="6">
        <v>132557.10971606863</v>
      </c>
      <c r="J53" s="6">
        <v>20969.447752317341</v>
      </c>
      <c r="K53" s="6">
        <f t="shared" si="1"/>
        <v>-111587.66196375129</v>
      </c>
      <c r="L53" s="6"/>
    </row>
    <row r="54" spans="1:12" x14ac:dyDescent="0.25">
      <c r="A54" s="7" t="s">
        <v>59</v>
      </c>
      <c r="B54" s="6">
        <v>35576.962500000001</v>
      </c>
      <c r="C54" s="6">
        <v>37531.593955946548</v>
      </c>
      <c r="D54" s="6">
        <v>152743.4745762712</v>
      </c>
      <c r="E54" s="6">
        <f t="shared" si="0"/>
        <v>115211.88062032465</v>
      </c>
      <c r="F54" s="6"/>
      <c r="G54" s="7" t="s">
        <v>60</v>
      </c>
      <c r="H54" s="6">
        <v>185998.57226161737</v>
      </c>
      <c r="I54" s="6">
        <v>204299.65945951885</v>
      </c>
      <c r="J54" s="6">
        <v>94776.724043233306</v>
      </c>
      <c r="K54" s="6">
        <f t="shared" si="1"/>
        <v>-109522.93541628555</v>
      </c>
      <c r="L54" s="6"/>
    </row>
    <row r="55" spans="1:12" x14ac:dyDescent="0.25">
      <c r="A55" s="7" t="s">
        <v>61</v>
      </c>
      <c r="B55" s="6">
        <v>269218.88064693363</v>
      </c>
      <c r="C55" s="6">
        <v>296070.49249754817</v>
      </c>
      <c r="D55" s="6">
        <v>410512.39612769004</v>
      </c>
      <c r="E55" s="6">
        <f t="shared" si="0"/>
        <v>114441.90363014187</v>
      </c>
      <c r="F55" s="6"/>
      <c r="G55" s="7" t="s">
        <v>62</v>
      </c>
      <c r="H55" s="6">
        <v>604831.16726196418</v>
      </c>
      <c r="I55" s="6">
        <v>652420.25918788638</v>
      </c>
      <c r="J55" s="6">
        <v>586020.30520370253</v>
      </c>
      <c r="K55" s="6">
        <f t="shared" si="1"/>
        <v>-66399.953984183841</v>
      </c>
      <c r="L55" s="6"/>
    </row>
    <row r="56" spans="1:12" x14ac:dyDescent="0.25">
      <c r="A56" s="7" t="s">
        <v>63</v>
      </c>
      <c r="B56" s="6">
        <v>2275680</v>
      </c>
      <c r="C56" s="6">
        <v>2501909.6648655371</v>
      </c>
      <c r="D56" s="6">
        <v>2599681.689378371</v>
      </c>
      <c r="E56" s="6">
        <f t="shared" si="0"/>
        <v>97772.024512833916</v>
      </c>
      <c r="F56" s="6"/>
      <c r="G56" s="7" t="s">
        <v>64</v>
      </c>
      <c r="H56" s="6">
        <v>80220.992928192107</v>
      </c>
      <c r="I56" s="6">
        <v>87925.838322273572</v>
      </c>
      <c r="J56" s="6">
        <v>25430.606402661393</v>
      </c>
      <c r="K56" s="6">
        <f t="shared" si="1"/>
        <v>-62495.231919612183</v>
      </c>
      <c r="L56" s="6"/>
    </row>
    <row r="57" spans="1:12" x14ac:dyDescent="0.25">
      <c r="A57" s="7" t="s">
        <v>65</v>
      </c>
      <c r="B57" s="6">
        <v>57252.814142904615</v>
      </c>
      <c r="C57" s="6">
        <v>62997.695431186396</v>
      </c>
      <c r="D57" s="6">
        <v>158776.37321059153</v>
      </c>
      <c r="E57" s="6">
        <f t="shared" si="0"/>
        <v>95778.67777940513</v>
      </c>
      <c r="F57" s="6"/>
      <c r="G57" s="7" t="s">
        <v>66</v>
      </c>
      <c r="H57" s="6">
        <v>248668.76290445638</v>
      </c>
      <c r="I57" s="6">
        <v>272033.68041880854</v>
      </c>
      <c r="J57" s="6">
        <v>217057.60693628585</v>
      </c>
      <c r="K57" s="6">
        <f t="shared" si="1"/>
        <v>-54976.073482522683</v>
      </c>
      <c r="L57" s="6"/>
    </row>
    <row r="58" spans="1:12" x14ac:dyDescent="0.25">
      <c r="A58" s="7" t="s">
        <v>67</v>
      </c>
      <c r="B58" s="6">
        <v>107826.33696189984</v>
      </c>
      <c r="C58" s="6">
        <v>118611.83348175029</v>
      </c>
      <c r="D58" s="6">
        <v>207987.21348175028</v>
      </c>
      <c r="E58" s="6">
        <f t="shared" si="0"/>
        <v>89375.37999999999</v>
      </c>
      <c r="F58" s="6"/>
      <c r="G58" s="7" t="s">
        <v>68</v>
      </c>
      <c r="H58" s="6">
        <v>47400</v>
      </c>
      <c r="I58" s="6">
        <v>52156.226870959872</v>
      </c>
      <c r="J58" s="6">
        <v>0</v>
      </c>
      <c r="K58" s="6">
        <f t="shared" si="1"/>
        <v>-52156.226870959872</v>
      </c>
      <c r="L58" s="6"/>
    </row>
    <row r="59" spans="1:12" x14ac:dyDescent="0.25">
      <c r="A59" s="7" t="s">
        <v>69</v>
      </c>
      <c r="B59" s="6">
        <v>375221.55324750004</v>
      </c>
      <c r="C59" s="6">
        <v>408621.10441633413</v>
      </c>
      <c r="D59" s="6">
        <v>487685.09721314698</v>
      </c>
      <c r="E59" s="6">
        <f t="shared" si="0"/>
        <v>79063.992796812847</v>
      </c>
      <c r="F59" s="6"/>
      <c r="G59" s="7" t="s">
        <v>70</v>
      </c>
      <c r="H59" s="6">
        <v>323000</v>
      </c>
      <c r="I59" s="6">
        <v>354939.64977887005</v>
      </c>
      <c r="J59" s="6">
        <v>305485.09274884663</v>
      </c>
      <c r="K59" s="6">
        <f t="shared" si="1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0"/>
        <v>73379.11940467963</v>
      </c>
      <c r="F60" s="6"/>
      <c r="G60" s="7" t="s">
        <v>72</v>
      </c>
      <c r="H60" s="6">
        <v>44902.619999999995</v>
      </c>
      <c r="I60" s="6">
        <v>49408.253920263705</v>
      </c>
      <c r="J60" s="6">
        <v>0</v>
      </c>
      <c r="K60" s="6">
        <f t="shared" si="1"/>
        <v>-49408.253920263705</v>
      </c>
      <c r="L60" s="6"/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0"/>
        <v>67405.212924658787</v>
      </c>
      <c r="F61" s="6"/>
      <c r="G61" s="7" t="s">
        <v>74</v>
      </c>
      <c r="H61" s="6">
        <v>53834.780352640009</v>
      </c>
      <c r="I61" s="6">
        <v>59225.322341151899</v>
      </c>
      <c r="J61" s="6">
        <v>21171.357934263768</v>
      </c>
      <c r="K61" s="6">
        <f t="shared" si="1"/>
        <v>-38053.964406888132</v>
      </c>
      <c r="L61" s="6"/>
    </row>
    <row r="62" spans="1:12" x14ac:dyDescent="0.25">
      <c r="A62" s="7" t="s">
        <v>75</v>
      </c>
      <c r="B62" s="6">
        <v>632186.92102385126</v>
      </c>
      <c r="C62" s="6">
        <v>694336.65689924359</v>
      </c>
      <c r="D62" s="6">
        <v>757558.8628992436</v>
      </c>
      <c r="E62" s="6">
        <f t="shared" si="0"/>
        <v>63222.206000000006</v>
      </c>
      <c r="F62" s="6"/>
      <c r="G62" s="7" t="s">
        <v>76</v>
      </c>
      <c r="H62" s="6">
        <v>5441345.7542000003</v>
      </c>
      <c r="I62" s="6">
        <v>5962535.341289294</v>
      </c>
      <c r="J62" s="6">
        <v>5925790.8540378427</v>
      </c>
      <c r="K62" s="6">
        <f t="shared" si="1"/>
        <v>-36744.487251451239</v>
      </c>
      <c r="L62" s="6"/>
    </row>
    <row r="63" spans="1:12" x14ac:dyDescent="0.25">
      <c r="A63" s="7" t="s">
        <v>77</v>
      </c>
      <c r="B63" s="6">
        <v>83429.153030534027</v>
      </c>
      <c r="C63" s="6">
        <v>87642.37777688996</v>
      </c>
      <c r="D63" s="6">
        <v>145298.356</v>
      </c>
      <c r="E63" s="6">
        <f t="shared" si="0"/>
        <v>57655.97822311004</v>
      </c>
      <c r="F63" s="6"/>
      <c r="G63" s="7" t="s">
        <v>78</v>
      </c>
      <c r="H63" s="6">
        <v>233600</v>
      </c>
      <c r="I63" s="6">
        <v>256894.32588197562</v>
      </c>
      <c r="J63" s="6">
        <v>222076.63375866329</v>
      </c>
      <c r="K63" s="6">
        <f t="shared" si="1"/>
        <v>-34817.692123312328</v>
      </c>
      <c r="L63" s="6"/>
    </row>
    <row r="64" spans="1:12" x14ac:dyDescent="0.25">
      <c r="A64" s="7" t="s">
        <v>79</v>
      </c>
      <c r="B64" s="6">
        <v>2215133.855</v>
      </c>
      <c r="C64" s="6">
        <v>2437361.9630886614</v>
      </c>
      <c r="D64" s="6">
        <v>2483861.9630886614</v>
      </c>
      <c r="E64" s="6">
        <f t="shared" si="0"/>
        <v>46500</v>
      </c>
      <c r="F64" s="6"/>
      <c r="G64" s="7" t="s">
        <v>80</v>
      </c>
      <c r="H64" s="6">
        <v>47400</v>
      </c>
      <c r="I64" s="6">
        <v>52074.601313139894</v>
      </c>
      <c r="J64" s="6">
        <v>17801.34</v>
      </c>
      <c r="K64" s="6">
        <f t="shared" si="1"/>
        <v>-34273.261313139898</v>
      </c>
      <c r="L64" s="6"/>
    </row>
    <row r="65" spans="1:12" x14ac:dyDescent="0.25">
      <c r="A65" s="7" t="s">
        <v>81</v>
      </c>
      <c r="B65" s="6">
        <v>10819.4375</v>
      </c>
      <c r="C65" s="6">
        <v>11746.223671956868</v>
      </c>
      <c r="D65" s="6">
        <v>57845.723506970426</v>
      </c>
      <c r="E65" s="6">
        <f t="shared" si="0"/>
        <v>46099.499835013557</v>
      </c>
      <c r="F65" s="6"/>
      <c r="G65" s="7" t="s">
        <v>82</v>
      </c>
      <c r="H65" s="6">
        <v>650000.02933333337</v>
      </c>
      <c r="I65" s="6">
        <v>713899.37372633582</v>
      </c>
      <c r="J65" s="6">
        <v>682129.99926643865</v>
      </c>
      <c r="K65" s="6">
        <f t="shared" si="1"/>
        <v>-31769.374459897168</v>
      </c>
      <c r="L65" s="6"/>
    </row>
    <row r="66" spans="1:12" x14ac:dyDescent="0.25">
      <c r="A66" s="7" t="s">
        <v>83</v>
      </c>
      <c r="B66" s="6">
        <v>522720</v>
      </c>
      <c r="C66" s="6">
        <v>574204.25532855326</v>
      </c>
      <c r="D66" s="6">
        <v>615351.79254456575</v>
      </c>
      <c r="E66" s="6">
        <f t="shared" si="0"/>
        <v>41147.537216012483</v>
      </c>
      <c r="F66" s="6"/>
      <c r="G66" s="7" t="s">
        <v>84</v>
      </c>
      <c r="H66" s="6">
        <v>16719.925000000003</v>
      </c>
      <c r="I66" s="6">
        <v>18397.641383237002</v>
      </c>
      <c r="J66" s="6">
        <v>0</v>
      </c>
      <c r="K66" s="6">
        <f t="shared" si="1"/>
        <v>-18397.641383237002</v>
      </c>
      <c r="L66" s="6"/>
    </row>
    <row r="67" spans="1:12" x14ac:dyDescent="0.25">
      <c r="A67" s="7" t="s">
        <v>85</v>
      </c>
      <c r="B67" s="6">
        <v>384590.41845262051</v>
      </c>
      <c r="C67" s="6">
        <v>423181.12061629252</v>
      </c>
      <c r="D67" s="6">
        <v>463935.39261629252</v>
      </c>
      <c r="E67" s="6">
        <f t="shared" si="0"/>
        <v>40754.271999999997</v>
      </c>
      <c r="F67" s="6"/>
      <c r="G67" s="7" t="s">
        <v>86</v>
      </c>
      <c r="H67" s="6">
        <v>245360</v>
      </c>
      <c r="I67" s="6">
        <v>269418.21170744422</v>
      </c>
      <c r="J67" s="6">
        <v>252978.05884730394</v>
      </c>
      <c r="K67" s="6">
        <f t="shared" si="1"/>
        <v>-16440.152860140282</v>
      </c>
      <c r="L67" s="6"/>
    </row>
    <row r="68" spans="1:12" x14ac:dyDescent="0.25">
      <c r="A68" s="7" t="s">
        <v>87</v>
      </c>
      <c r="B68" s="6">
        <v>250000</v>
      </c>
      <c r="C68" s="6">
        <v>258670.94652034686</v>
      </c>
      <c r="D68" s="6">
        <v>281709.36</v>
      </c>
      <c r="E68" s="6">
        <f t="shared" si="0"/>
        <v>23038.413479653129</v>
      </c>
      <c r="F68" s="6"/>
      <c r="G68" s="7" t="s">
        <v>88</v>
      </c>
      <c r="H68" s="6">
        <v>26100</v>
      </c>
      <c r="I68" s="6">
        <v>28496.159208931313</v>
      </c>
      <c r="J68" s="6">
        <v>12192.85</v>
      </c>
      <c r="K68" s="6">
        <f t="shared" si="1"/>
        <v>-16303.309208931312</v>
      </c>
      <c r="L68" s="6"/>
    </row>
    <row r="69" spans="1:12" x14ac:dyDescent="0.25">
      <c r="A69" s="7" t="s">
        <v>89</v>
      </c>
      <c r="B69" s="6">
        <v>52787.786047755486</v>
      </c>
      <c r="C69" s="6">
        <v>58084.635973046934</v>
      </c>
      <c r="D69" s="6">
        <v>77678.225973046923</v>
      </c>
      <c r="E69" s="6">
        <f t="shared" si="0"/>
        <v>19593.589999999989</v>
      </c>
      <c r="F69" s="6"/>
      <c r="G69" s="7" t="s">
        <v>90</v>
      </c>
      <c r="H69" s="6">
        <v>379507.65</v>
      </c>
      <c r="I69" s="6">
        <v>416024.08795748133</v>
      </c>
      <c r="J69" s="6">
        <v>400158.23616089963</v>
      </c>
      <c r="K69" s="6">
        <f t="shared" si="1"/>
        <v>-15865.851796581701</v>
      </c>
      <c r="L69" s="6"/>
    </row>
    <row r="70" spans="1:12" x14ac:dyDescent="0.25">
      <c r="A70" s="7" t="s">
        <v>91</v>
      </c>
      <c r="B70" s="6">
        <v>400765.48</v>
      </c>
      <c r="C70" s="6">
        <v>439474.50785192783</v>
      </c>
      <c r="D70" s="6">
        <v>457993.70436862484</v>
      </c>
      <c r="E70" s="6">
        <f t="shared" si="0"/>
        <v>18519.196516697004</v>
      </c>
      <c r="F70" s="6"/>
      <c r="G70" s="7" t="s">
        <v>92</v>
      </c>
      <c r="H70" s="6">
        <v>90222.908418788778</v>
      </c>
      <c r="I70" s="6">
        <v>96636.264678799052</v>
      </c>
      <c r="J70" s="6">
        <v>85001.203459137629</v>
      </c>
      <c r="K70" s="6">
        <f t="shared" si="1"/>
        <v>-11635.061219661424</v>
      </c>
      <c r="L70" s="6"/>
    </row>
    <row r="71" spans="1:12" x14ac:dyDescent="0.25">
      <c r="A71" s="7" t="s">
        <v>93</v>
      </c>
      <c r="B71" s="6">
        <v>351700</v>
      </c>
      <c r="C71" s="6">
        <v>385920.15217851364</v>
      </c>
      <c r="D71" s="6">
        <v>401516.94060296775</v>
      </c>
      <c r="E71" s="6">
        <f t="shared" si="0"/>
        <v>15596.788424454106</v>
      </c>
      <c r="F71" s="6"/>
      <c r="G71" s="7" t="s">
        <v>94</v>
      </c>
      <c r="H71" s="6">
        <v>11403.052082228009</v>
      </c>
      <c r="I71" s="6">
        <v>12443.789295922272</v>
      </c>
      <c r="J71" s="6">
        <v>2500</v>
      </c>
      <c r="K71" s="6">
        <f t="shared" si="1"/>
        <v>-9943.7892959222718</v>
      </c>
      <c r="L71" s="6"/>
    </row>
    <row r="72" spans="1:12" ht="30" x14ac:dyDescent="0.25">
      <c r="A72" s="7" t="s">
        <v>95</v>
      </c>
      <c r="B72" s="6">
        <v>75836.522803676606</v>
      </c>
      <c r="C72" s="6">
        <v>83446.136887199988</v>
      </c>
      <c r="D72" s="6">
        <v>90532.932887199975</v>
      </c>
      <c r="E72" s="6">
        <f t="shared" si="0"/>
        <v>7086.7959999999875</v>
      </c>
      <c r="F72" s="6"/>
      <c r="G72" s="7" t="s">
        <v>96</v>
      </c>
      <c r="H72" s="6">
        <v>3600</v>
      </c>
      <c r="I72" s="6">
        <v>3961.2324205792306</v>
      </c>
      <c r="J72" s="6">
        <v>0</v>
      </c>
      <c r="K72" s="6">
        <f t="shared" si="1"/>
        <v>-3961.2324205792306</v>
      </c>
      <c r="L72" s="6"/>
    </row>
    <row r="73" spans="1:12" x14ac:dyDescent="0.25">
      <c r="A73" s="7" t="s">
        <v>97</v>
      </c>
      <c r="B73" s="6">
        <v>1288479.01</v>
      </c>
      <c r="C73" s="6">
        <v>1417768.0076799537</v>
      </c>
      <c r="D73" s="6">
        <v>1423409.2376799537</v>
      </c>
      <c r="E73" s="6">
        <f t="shared" si="0"/>
        <v>5641.2299999999814</v>
      </c>
      <c r="F73" s="6"/>
      <c r="G73" s="7" t="s">
        <v>98</v>
      </c>
      <c r="H73" s="6">
        <v>29550.53354690081</v>
      </c>
      <c r="I73" s="6">
        <v>32515.204598170272</v>
      </c>
      <c r="J73" s="6">
        <v>29009.887637604497</v>
      </c>
      <c r="K73" s="6">
        <f t="shared" si="1"/>
        <v>-3505.3169605657749</v>
      </c>
      <c r="L73" s="6"/>
    </row>
    <row r="74" spans="1:12" x14ac:dyDescent="0.25">
      <c r="A74" s="7" t="s">
        <v>99</v>
      </c>
      <c r="B74" s="6">
        <v>69401.564133824344</v>
      </c>
      <c r="C74" s="6">
        <v>76347.999948027136</v>
      </c>
      <c r="D74" s="6">
        <v>81865.739948027127</v>
      </c>
      <c r="E74" s="6">
        <f t="shared" si="0"/>
        <v>5517.7399999999907</v>
      </c>
      <c r="F74" s="6"/>
      <c r="G74" s="7" t="s">
        <v>100</v>
      </c>
      <c r="H74" s="6">
        <v>101074.42118806772</v>
      </c>
      <c r="I74" s="6">
        <v>111216.46502818173</v>
      </c>
      <c r="J74" s="6">
        <v>108757.64962313166</v>
      </c>
      <c r="K74" s="6">
        <f t="shared" si="1"/>
        <v>-2458.8154050500743</v>
      </c>
      <c r="L74" s="6"/>
    </row>
    <row r="75" spans="1:12" x14ac:dyDescent="0.25">
      <c r="A75" s="7" t="s">
        <v>101</v>
      </c>
      <c r="B75" s="6">
        <v>25747.928568365201</v>
      </c>
      <c r="C75" s="6">
        <v>28287.134418739417</v>
      </c>
      <c r="D75" s="6">
        <v>32143.734751860236</v>
      </c>
      <c r="E75" s="6">
        <f t="shared" si="0"/>
        <v>3856.6003331208194</v>
      </c>
      <c r="F75" s="6"/>
      <c r="G75" s="7" t="s">
        <v>102</v>
      </c>
      <c r="H75" s="6">
        <v>17815.142836013587</v>
      </c>
      <c r="I75" s="6">
        <v>19602.755938685234</v>
      </c>
      <c r="J75" s="6">
        <v>17858.41959306084</v>
      </c>
      <c r="K75" s="6">
        <f t="shared" si="1"/>
        <v>-1744.3363456243933</v>
      </c>
      <c r="L75" s="6"/>
    </row>
    <row r="76" spans="1:12" x14ac:dyDescent="0.25">
      <c r="A76" s="7" t="s">
        <v>103</v>
      </c>
      <c r="B76" s="6">
        <v>1335561.9885516798</v>
      </c>
      <c r="C76" s="6">
        <v>1469098.643101532</v>
      </c>
      <c r="D76" s="6">
        <v>1472298.643101532</v>
      </c>
      <c r="E76" s="6">
        <f t="shared" si="0"/>
        <v>3200</v>
      </c>
      <c r="F76" s="6"/>
      <c r="G76" s="7" t="s">
        <v>104</v>
      </c>
      <c r="H76" s="6">
        <v>40840.894970129266</v>
      </c>
      <c r="I76" s="6">
        <v>44938.96590031869</v>
      </c>
      <c r="J76" s="6">
        <v>43629.69394239071</v>
      </c>
      <c r="K76" s="6">
        <f t="shared" si="1"/>
        <v>-1309.2719579279801</v>
      </c>
      <c r="L76" s="6"/>
    </row>
    <row r="77" spans="1:12" x14ac:dyDescent="0.25">
      <c r="A77" s="7" t="s">
        <v>105</v>
      </c>
      <c r="B77" s="6">
        <v>47400</v>
      </c>
      <c r="C77" s="6">
        <v>52147.935404396259</v>
      </c>
      <c r="D77" s="6">
        <v>54956.226870959872</v>
      </c>
      <c r="E77" s="6">
        <f t="shared" si="0"/>
        <v>2808.2914665636126</v>
      </c>
      <c r="F77" s="6"/>
      <c r="G77" s="7" t="s">
        <v>106</v>
      </c>
      <c r="H77" s="6">
        <v>3994.042474296928</v>
      </c>
      <c r="I77" s="6">
        <v>4394.8140384320786</v>
      </c>
      <c r="J77" s="6">
        <v>4009.2261092732724</v>
      </c>
      <c r="K77" s="6">
        <f t="shared" si="1"/>
        <v>-385.58792915880622</v>
      </c>
      <c r="L77" s="6"/>
    </row>
    <row r="78" spans="1:12" x14ac:dyDescent="0.25">
      <c r="A78" s="7" t="s">
        <v>107</v>
      </c>
      <c r="B78" s="6">
        <v>41837.040000000001</v>
      </c>
      <c r="C78" s="6">
        <v>46035.066452519481</v>
      </c>
      <c r="D78" s="6">
        <v>47172.816452519481</v>
      </c>
      <c r="E78" s="6">
        <f t="shared" si="0"/>
        <v>1137.75</v>
      </c>
      <c r="F78" s="6"/>
      <c r="G78" s="7" t="s">
        <v>108</v>
      </c>
      <c r="H78" s="6">
        <v>163896.06145440001</v>
      </c>
      <c r="I78" s="6">
        <v>180341.77562178206</v>
      </c>
      <c r="J78" s="6">
        <v>180057.82562178205</v>
      </c>
      <c r="K78" s="6">
        <f t="shared" si="1"/>
        <v>-283.95000000001164</v>
      </c>
      <c r="L78" s="6"/>
    </row>
    <row r="79" spans="1:12" x14ac:dyDescent="0.25">
      <c r="A79" s="7" t="s">
        <v>109</v>
      </c>
      <c r="B79" s="6">
        <v>176569.91140400001</v>
      </c>
      <c r="C79" s="6">
        <v>194287.34932009096</v>
      </c>
      <c r="D79" s="6">
        <v>195117.77932009095</v>
      </c>
      <c r="E79" s="6">
        <f t="shared" si="0"/>
        <v>830.42999999999302</v>
      </c>
      <c r="F79" s="6"/>
      <c r="G79" s="7" t="s">
        <v>110</v>
      </c>
      <c r="H79" s="6">
        <v>24084.091797531873</v>
      </c>
      <c r="I79" s="6">
        <v>26500.745902386003</v>
      </c>
      <c r="J79" s="6">
        <v>26265.328378057136</v>
      </c>
      <c r="K79" s="6">
        <f t="shared" si="1"/>
        <v>-235.41752432886642</v>
      </c>
      <c r="L79" s="6"/>
    </row>
    <row r="80" spans="1:12" x14ac:dyDescent="0.25">
      <c r="A80" s="7" t="s">
        <v>111</v>
      </c>
      <c r="B80" s="6">
        <v>1818749.1038897291</v>
      </c>
      <c r="C80" s="6">
        <v>2001244.0463697994</v>
      </c>
      <c r="D80" s="6">
        <v>2001805.8431187263</v>
      </c>
      <c r="E80" s="6">
        <f t="shared" si="0"/>
        <v>561.79674892686307</v>
      </c>
      <c r="F80" s="6"/>
      <c r="G80" s="7" t="s">
        <v>112</v>
      </c>
      <c r="H80" s="6">
        <v>8420.2799999999988</v>
      </c>
      <c r="I80" s="6">
        <v>9265.190590654136</v>
      </c>
      <c r="J80" s="6">
        <v>9265.190590654136</v>
      </c>
      <c r="K80" s="6">
        <f t="shared" si="1"/>
        <v>0</v>
      </c>
      <c r="L80" s="6"/>
    </row>
    <row r="81" spans="1:12" x14ac:dyDescent="0.25">
      <c r="A81" s="7" t="s">
        <v>113</v>
      </c>
      <c r="B81" s="6">
        <v>220000</v>
      </c>
      <c r="C81" s="6">
        <v>241952.54893491842</v>
      </c>
      <c r="D81" s="6">
        <v>242369.70315291287</v>
      </c>
      <c r="E81" s="6">
        <f t="shared" si="0"/>
        <v>417.15421799445176</v>
      </c>
      <c r="F81" s="6"/>
      <c r="G81" s="7" t="s">
        <v>114</v>
      </c>
      <c r="H81" s="6">
        <v>1425.06</v>
      </c>
      <c r="I81" s="6">
        <v>1568.0538536862887</v>
      </c>
      <c r="J81" s="6">
        <v>1568.0538536862887</v>
      </c>
      <c r="K81" s="6">
        <f t="shared" si="1"/>
        <v>0</v>
      </c>
      <c r="L81" s="6"/>
    </row>
    <row r="82" spans="1:12" x14ac:dyDescent="0.25">
      <c r="A82" s="7"/>
      <c r="B82" s="6"/>
      <c r="C82" s="6"/>
      <c r="D82" s="6"/>
      <c r="E82" s="6">
        <f t="shared" si="0"/>
        <v>0</v>
      </c>
      <c r="F82" s="6"/>
      <c r="G82" s="7"/>
      <c r="H82" s="6"/>
      <c r="I82" s="6"/>
      <c r="J82" s="6"/>
      <c r="K82" s="6">
        <f t="shared" si="1"/>
        <v>0</v>
      </c>
      <c r="L82" s="6"/>
    </row>
  </sheetData>
  <mergeCells count="12">
    <mergeCell ref="C7:D7"/>
    <mergeCell ref="C8:D8"/>
    <mergeCell ref="A10:B10"/>
    <mergeCell ref="D10:F10"/>
    <mergeCell ref="A46:F46"/>
    <mergeCell ref="G46:L46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8A6BF-5D5B-41FF-A6CF-0F93A52A3215}">
  <dimension ref="A1:L82"/>
  <sheetViews>
    <sheetView showGridLines="0" zoomScale="85" zoomScaleNormal="85" workbookViewId="0">
      <selection activeCell="B8" sqref="B2:B8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21" t="s">
        <v>21</v>
      </c>
      <c r="B1" s="18"/>
      <c r="C1" s="18"/>
      <c r="D1" s="18"/>
    </row>
    <row r="2" spans="1:6" x14ac:dyDescent="0.25">
      <c r="A2" s="1" t="s">
        <v>22</v>
      </c>
      <c r="B2" s="2"/>
      <c r="C2" s="28"/>
      <c r="D2" s="20"/>
    </row>
    <row r="3" spans="1:6" x14ac:dyDescent="0.25">
      <c r="A3" s="1" t="s">
        <v>23</v>
      </c>
      <c r="B3" s="2"/>
      <c r="C3" s="19"/>
      <c r="D3" s="20"/>
    </row>
    <row r="4" spans="1:6" x14ac:dyDescent="0.25">
      <c r="A4" s="1" t="s">
        <v>24</v>
      </c>
      <c r="B4" s="2"/>
      <c r="C4" s="19"/>
      <c r="D4" s="20"/>
    </row>
    <row r="5" spans="1:6" x14ac:dyDescent="0.25">
      <c r="A5" s="1" t="s">
        <v>25</v>
      </c>
      <c r="B5" s="2"/>
      <c r="C5" s="19"/>
      <c r="D5" s="20"/>
    </row>
    <row r="6" spans="1:6" x14ac:dyDescent="0.25">
      <c r="A6" s="1" t="s">
        <v>26</v>
      </c>
      <c r="B6" s="2"/>
      <c r="C6" s="19"/>
      <c r="D6" s="20"/>
    </row>
    <row r="7" spans="1:6" x14ac:dyDescent="0.25">
      <c r="A7" s="1" t="s">
        <v>27</v>
      </c>
      <c r="B7" s="2"/>
      <c r="C7" s="19"/>
      <c r="D7" s="20"/>
    </row>
    <row r="8" spans="1:6" x14ac:dyDescent="0.25">
      <c r="A8" s="1" t="s">
        <v>18</v>
      </c>
      <c r="B8" s="2"/>
      <c r="C8" s="19"/>
      <c r="D8" s="20"/>
    </row>
    <row r="10" spans="1:6" ht="15" customHeight="1" x14ac:dyDescent="0.25">
      <c r="A10" s="21" t="s">
        <v>30</v>
      </c>
      <c r="B10" s="18"/>
      <c r="D10" s="22" t="s">
        <v>28</v>
      </c>
      <c r="E10" s="22"/>
      <c r="F10" s="22"/>
    </row>
    <row r="11" spans="1:6" ht="25.5" x14ac:dyDescent="0.25">
      <c r="A11" s="3" t="s">
        <v>29</v>
      </c>
      <c r="B11" s="3" t="s">
        <v>30</v>
      </c>
      <c r="D11" s="3" t="s">
        <v>29</v>
      </c>
      <c r="E11" s="3" t="s">
        <v>31</v>
      </c>
      <c r="F11" s="3" t="s">
        <v>32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/>
      <c r="F12" s="6"/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33</v>
      </c>
      <c r="B26" s="10"/>
      <c r="C26" s="10"/>
      <c r="D26" s="10"/>
      <c r="F26" s="9"/>
      <c r="G26" s="9"/>
      <c r="H26" s="9"/>
    </row>
    <row r="27" spans="1:8" ht="25.5" x14ac:dyDescent="0.25">
      <c r="A27" s="3" t="s">
        <v>29</v>
      </c>
      <c r="B27" s="3" t="s">
        <v>34</v>
      </c>
      <c r="C27" s="3" t="s">
        <v>35</v>
      </c>
      <c r="D27" s="3" t="s">
        <v>36</v>
      </c>
      <c r="E27" s="3" t="s">
        <v>37</v>
      </c>
      <c r="F27" s="9"/>
      <c r="G27" s="9"/>
      <c r="H27" s="9"/>
    </row>
    <row r="28" spans="1:8" ht="15" customHeight="1" x14ac:dyDescent="0.25">
      <c r="A28" s="4">
        <v>45809</v>
      </c>
      <c r="B28" s="15"/>
      <c r="C28" s="16"/>
      <c r="D28" s="16"/>
      <c r="E28" s="16"/>
      <c r="F28" s="9"/>
      <c r="G28" s="9"/>
      <c r="H28" s="9"/>
    </row>
    <row r="29" spans="1:8" ht="15" customHeight="1" x14ac:dyDescent="0.25">
      <c r="A29" s="4">
        <v>45839</v>
      </c>
      <c r="B29" s="15"/>
      <c r="C29" s="16"/>
      <c r="D29" s="16"/>
      <c r="E29" s="16"/>
      <c r="F29" s="9"/>
      <c r="G29" s="9"/>
      <c r="H29" s="9"/>
    </row>
    <row r="30" spans="1:8" ht="15" customHeight="1" x14ac:dyDescent="0.25">
      <c r="A30" s="4">
        <v>45870</v>
      </c>
      <c r="B30" s="15"/>
      <c r="C30" s="16"/>
      <c r="D30" s="16"/>
      <c r="E30" s="16"/>
      <c r="F30" s="9"/>
      <c r="G30" s="9"/>
      <c r="H30" s="9"/>
    </row>
    <row r="31" spans="1:8" ht="15" customHeight="1" x14ac:dyDescent="0.25">
      <c r="A31" s="4">
        <v>45901</v>
      </c>
      <c r="B31" s="15"/>
      <c r="C31" s="16"/>
      <c r="D31" s="16"/>
      <c r="E31" s="16"/>
      <c r="F31" s="9"/>
      <c r="G31" s="9"/>
      <c r="H31" s="9"/>
    </row>
    <row r="32" spans="1:8" ht="15" customHeight="1" x14ac:dyDescent="0.25">
      <c r="A32" s="4">
        <v>45931</v>
      </c>
      <c r="B32" s="15"/>
      <c r="C32" s="16"/>
      <c r="D32" s="16"/>
      <c r="E32" s="16"/>
      <c r="F32" s="9"/>
      <c r="G32" s="9"/>
      <c r="H32" s="9"/>
    </row>
    <row r="33" spans="1:12" ht="15" customHeight="1" x14ac:dyDescent="0.25">
      <c r="A33" s="4">
        <v>45962</v>
      </c>
      <c r="B33" s="15"/>
      <c r="C33" s="16"/>
      <c r="D33" s="16"/>
      <c r="E33" s="16"/>
      <c r="F33" s="9"/>
      <c r="G33" s="9"/>
      <c r="H33" s="9"/>
    </row>
    <row r="34" spans="1:12" ht="15" customHeight="1" x14ac:dyDescent="0.25">
      <c r="A34" s="4">
        <v>45992</v>
      </c>
      <c r="B34" s="15"/>
      <c r="C34" s="16"/>
      <c r="D34" s="16"/>
      <c r="E34" s="16"/>
      <c r="F34" s="9"/>
      <c r="G34" s="9"/>
      <c r="H34" s="9"/>
    </row>
    <row r="35" spans="1:12" ht="15" customHeight="1" x14ac:dyDescent="0.25">
      <c r="A35" s="4">
        <v>46023</v>
      </c>
      <c r="B35" s="15"/>
      <c r="C35" s="16"/>
      <c r="D35" s="16"/>
      <c r="E35" s="16"/>
      <c r="F35" s="9"/>
      <c r="G35" s="9"/>
      <c r="H35" s="9"/>
    </row>
    <row r="36" spans="1:12" ht="15" customHeight="1" x14ac:dyDescent="0.25">
      <c r="A36" s="4">
        <v>46054</v>
      </c>
      <c r="B36" s="15"/>
      <c r="C36" s="16"/>
      <c r="D36" s="16"/>
      <c r="E36" s="16"/>
      <c r="F36" s="9"/>
      <c r="G36" s="9"/>
      <c r="H36" s="9"/>
    </row>
    <row r="37" spans="1:12" ht="15" customHeight="1" x14ac:dyDescent="0.25">
      <c r="A37" s="4">
        <v>46082</v>
      </c>
      <c r="B37" s="15"/>
      <c r="C37" s="16"/>
      <c r="D37" s="16"/>
      <c r="E37" s="16"/>
      <c r="F37" s="9"/>
      <c r="G37" s="9"/>
      <c r="H37" s="9"/>
    </row>
    <row r="38" spans="1:12" ht="15" customHeight="1" x14ac:dyDescent="0.25">
      <c r="A38" s="4">
        <v>46113</v>
      </c>
      <c r="B38" s="15"/>
      <c r="C38" s="16"/>
      <c r="D38" s="16"/>
      <c r="E38" s="16"/>
      <c r="F38" s="9"/>
      <c r="G38" s="9"/>
      <c r="H38" s="9"/>
    </row>
    <row r="39" spans="1:12" ht="15" customHeight="1" x14ac:dyDescent="0.25">
      <c r="A39" s="4">
        <v>46143</v>
      </c>
      <c r="B39" s="15"/>
      <c r="C39" s="16"/>
      <c r="D39" s="16"/>
      <c r="E39" s="16"/>
      <c r="F39" s="9"/>
      <c r="G39" s="9"/>
      <c r="H39" s="9"/>
    </row>
    <row r="40" spans="1:12" ht="15" customHeight="1" x14ac:dyDescent="0.25">
      <c r="A40" s="4">
        <v>46174</v>
      </c>
      <c r="B40" s="15"/>
      <c r="C40" s="16"/>
      <c r="D40" s="16"/>
      <c r="E40" s="16"/>
      <c r="F40" s="9"/>
      <c r="G40" s="9"/>
      <c r="H40" s="9"/>
    </row>
    <row r="41" spans="1:12" ht="15" customHeight="1" x14ac:dyDescent="0.25">
      <c r="A41" s="4">
        <v>46204</v>
      </c>
      <c r="B41" s="15"/>
      <c r="C41" s="16"/>
      <c r="D41" s="16"/>
      <c r="E41" s="16"/>
      <c r="F41" s="9"/>
      <c r="G41" s="9"/>
      <c r="H41" s="9"/>
    </row>
    <row r="42" spans="1:12" ht="15" customHeight="1" x14ac:dyDescent="0.25">
      <c r="A42" s="4">
        <v>46235</v>
      </c>
      <c r="B42" s="15"/>
      <c r="C42" s="16"/>
      <c r="D42" s="16"/>
      <c r="E42" s="16"/>
      <c r="F42" s="9"/>
      <c r="G42" s="9"/>
      <c r="H42" s="9"/>
    </row>
    <row r="43" spans="1:12" ht="15" customHeight="1" x14ac:dyDescent="0.25">
      <c r="A43" s="4">
        <v>46266</v>
      </c>
      <c r="B43" s="15"/>
      <c r="C43" s="16"/>
      <c r="D43" s="16"/>
      <c r="E43" s="16"/>
      <c r="F43" s="9"/>
      <c r="G43" s="9"/>
      <c r="H43" s="9"/>
    </row>
    <row r="45" spans="1:12" ht="15" customHeight="1" x14ac:dyDescent="0.25">
      <c r="A45" s="8" t="s">
        <v>38</v>
      </c>
    </row>
    <row r="46" spans="1:12" ht="15.75" x14ac:dyDescent="0.25">
      <c r="A46" s="23" t="s">
        <v>39</v>
      </c>
      <c r="B46" s="24"/>
      <c r="C46" s="24"/>
      <c r="D46" s="24"/>
      <c r="E46" s="24"/>
      <c r="F46" s="25"/>
      <c r="G46" s="26" t="s">
        <v>40</v>
      </c>
      <c r="H46" s="27"/>
      <c r="I46" s="27"/>
      <c r="J46" s="27"/>
      <c r="K46" s="27"/>
      <c r="L46" s="27"/>
    </row>
    <row r="47" spans="1:12" ht="25.5" x14ac:dyDescent="0.25">
      <c r="A47" s="3" t="s">
        <v>41</v>
      </c>
      <c r="B47" s="3" t="s">
        <v>42</v>
      </c>
      <c r="C47" s="3" t="s">
        <v>43</v>
      </c>
      <c r="D47" s="3" t="s">
        <v>44</v>
      </c>
      <c r="E47" s="3" t="s">
        <v>45</v>
      </c>
      <c r="F47" s="3" t="s">
        <v>46</v>
      </c>
      <c r="G47" s="3" t="s">
        <v>41</v>
      </c>
      <c r="H47" s="3" t="s">
        <v>42</v>
      </c>
      <c r="I47" s="3" t="s">
        <v>43</v>
      </c>
      <c r="J47" s="3" t="s">
        <v>44</v>
      </c>
      <c r="K47" s="3" t="s">
        <v>45</v>
      </c>
      <c r="L47" s="3" t="s">
        <v>46</v>
      </c>
    </row>
    <row r="48" spans="1:12" x14ac:dyDescent="0.25">
      <c r="A48" s="7" t="s">
        <v>47</v>
      </c>
      <c r="B48" s="6">
        <v>1216262.5412240268</v>
      </c>
      <c r="C48" s="6">
        <v>1336320.8179285727</v>
      </c>
      <c r="D48" s="6">
        <v>1841541.069215633</v>
      </c>
      <c r="E48" s="6">
        <f t="shared" ref="E48:E82" si="0">D48-C48</f>
        <v>505220.25128706032</v>
      </c>
      <c r="F48" s="6"/>
      <c r="G48" s="7" t="s">
        <v>48</v>
      </c>
      <c r="H48" s="6">
        <v>1101312</v>
      </c>
      <c r="I48" s="6">
        <v>1210536.6124694173</v>
      </c>
      <c r="J48" s="6">
        <v>533173.59053115034</v>
      </c>
      <c r="K48" s="6">
        <f t="shared" ref="K48:K82" si="1">J48-I48</f>
        <v>-677363.02193826693</v>
      </c>
      <c r="L48" s="6"/>
    </row>
    <row r="49" spans="1:12" x14ac:dyDescent="0.25">
      <c r="A49" s="7" t="s">
        <v>49</v>
      </c>
      <c r="B49" s="6">
        <v>787917.97424137034</v>
      </c>
      <c r="C49" s="6">
        <v>865103.87747254525</v>
      </c>
      <c r="D49" s="6">
        <v>1325255.8654901136</v>
      </c>
      <c r="E49" s="6">
        <f t="shared" si="0"/>
        <v>460151.98801756836</v>
      </c>
      <c r="F49" s="6"/>
      <c r="G49" s="7" t="s">
        <v>50</v>
      </c>
      <c r="H49" s="6">
        <v>403562.30499999999</v>
      </c>
      <c r="I49" s="6">
        <v>443072.80328695953</v>
      </c>
      <c r="J49" s="6">
        <v>38000</v>
      </c>
      <c r="K49" s="6">
        <f t="shared" si="1"/>
        <v>-405072.80328695953</v>
      </c>
      <c r="L49" s="6"/>
    </row>
    <row r="50" spans="1:12" x14ac:dyDescent="0.25">
      <c r="A50" s="7" t="s">
        <v>51</v>
      </c>
      <c r="B50" s="6">
        <v>1081269.0394285447</v>
      </c>
      <c r="C50" s="6">
        <v>1180224.1933234031</v>
      </c>
      <c r="D50" s="6">
        <v>1575361.2945652129</v>
      </c>
      <c r="E50" s="6">
        <f t="shared" si="0"/>
        <v>395137.10124180978</v>
      </c>
      <c r="F50" s="6"/>
      <c r="G50" s="7" t="s">
        <v>52</v>
      </c>
      <c r="H50" s="6">
        <v>1036308.4188272201</v>
      </c>
      <c r="I50" s="6">
        <v>1118067.7117323838</v>
      </c>
      <c r="J50" s="6">
        <v>751528.91999999981</v>
      </c>
      <c r="K50" s="6">
        <f t="shared" si="1"/>
        <v>-366538.79173238401</v>
      </c>
      <c r="L50" s="6"/>
    </row>
    <row r="51" spans="1:12" x14ac:dyDescent="0.25">
      <c r="A51" s="7" t="s">
        <v>53</v>
      </c>
      <c r="B51" s="6">
        <v>250122.70634257342</v>
      </c>
      <c r="C51" s="6">
        <v>265372.60115608358</v>
      </c>
      <c r="D51" s="6">
        <v>595980.34900000005</v>
      </c>
      <c r="E51" s="6">
        <f t="shared" si="0"/>
        <v>330607.74784391647</v>
      </c>
      <c r="F51" s="6"/>
      <c r="G51" s="7" t="s">
        <v>54</v>
      </c>
      <c r="H51" s="6">
        <v>6552768.188609994</v>
      </c>
      <c r="I51" s="6">
        <v>7195275.1540455455</v>
      </c>
      <c r="J51" s="6">
        <v>6979643.0849913238</v>
      </c>
      <c r="K51" s="6">
        <f t="shared" si="1"/>
        <v>-215632.06905422173</v>
      </c>
      <c r="L51" s="6"/>
    </row>
    <row r="52" spans="1:12" x14ac:dyDescent="0.25">
      <c r="A52" s="7" t="s">
        <v>55</v>
      </c>
      <c r="B52" s="6">
        <v>1047250.9327280399</v>
      </c>
      <c r="C52" s="6">
        <v>1146718.0595562137</v>
      </c>
      <c r="D52" s="6">
        <v>1402124.0727673639</v>
      </c>
      <c r="E52" s="6">
        <f t="shared" si="0"/>
        <v>255406.01321115019</v>
      </c>
      <c r="F52" s="6"/>
      <c r="G52" s="7" t="s">
        <v>56</v>
      </c>
      <c r="H52" s="6">
        <v>2281769.9259050437</v>
      </c>
      <c r="I52" s="6">
        <v>2510358.2682443662</v>
      </c>
      <c r="J52" s="6">
        <v>2379797.2632925045</v>
      </c>
      <c r="K52" s="6">
        <f t="shared" si="1"/>
        <v>-130561.00495186169</v>
      </c>
      <c r="L52" s="6"/>
    </row>
    <row r="53" spans="1:12" x14ac:dyDescent="0.25">
      <c r="A53" s="7" t="s">
        <v>57</v>
      </c>
      <c r="B53" s="6">
        <v>189595.55537503742</v>
      </c>
      <c r="C53" s="6">
        <v>208416.6173458405</v>
      </c>
      <c r="D53" s="6">
        <v>333578.6578235419</v>
      </c>
      <c r="E53" s="6">
        <f t="shared" si="0"/>
        <v>125162.0404777014</v>
      </c>
      <c r="F53" s="6"/>
      <c r="G53" s="7" t="s">
        <v>58</v>
      </c>
      <c r="H53" s="6">
        <v>120468.97134808052</v>
      </c>
      <c r="I53" s="6">
        <v>132557.10971606863</v>
      </c>
      <c r="J53" s="6">
        <v>20969.447752317341</v>
      </c>
      <c r="K53" s="6">
        <f t="shared" si="1"/>
        <v>-111587.66196375129</v>
      </c>
      <c r="L53" s="6"/>
    </row>
    <row r="54" spans="1:12" x14ac:dyDescent="0.25">
      <c r="A54" s="7" t="s">
        <v>59</v>
      </c>
      <c r="B54" s="6">
        <v>35576.962500000001</v>
      </c>
      <c r="C54" s="6">
        <v>37531.593955946548</v>
      </c>
      <c r="D54" s="6">
        <v>152743.4745762712</v>
      </c>
      <c r="E54" s="6">
        <f t="shared" si="0"/>
        <v>115211.88062032465</v>
      </c>
      <c r="F54" s="6"/>
      <c r="G54" s="7" t="s">
        <v>60</v>
      </c>
      <c r="H54" s="6">
        <v>185998.57226161737</v>
      </c>
      <c r="I54" s="6">
        <v>204299.65945951885</v>
      </c>
      <c r="J54" s="6">
        <v>94776.724043233306</v>
      </c>
      <c r="K54" s="6">
        <f t="shared" si="1"/>
        <v>-109522.93541628555</v>
      </c>
      <c r="L54" s="6"/>
    </row>
    <row r="55" spans="1:12" x14ac:dyDescent="0.25">
      <c r="A55" s="7" t="s">
        <v>61</v>
      </c>
      <c r="B55" s="6">
        <v>269218.88064693363</v>
      </c>
      <c r="C55" s="6">
        <v>296070.49249754817</v>
      </c>
      <c r="D55" s="6">
        <v>410512.39612769004</v>
      </c>
      <c r="E55" s="6">
        <f t="shared" si="0"/>
        <v>114441.90363014187</v>
      </c>
      <c r="F55" s="6"/>
      <c r="G55" s="7" t="s">
        <v>62</v>
      </c>
      <c r="H55" s="6">
        <v>604831.16726196418</v>
      </c>
      <c r="I55" s="6">
        <v>652420.25918788638</v>
      </c>
      <c r="J55" s="6">
        <v>586020.30520370253</v>
      </c>
      <c r="K55" s="6">
        <f t="shared" si="1"/>
        <v>-66399.953984183841</v>
      </c>
      <c r="L55" s="6"/>
    </row>
    <row r="56" spans="1:12" x14ac:dyDescent="0.25">
      <c r="A56" s="7" t="s">
        <v>63</v>
      </c>
      <c r="B56" s="6">
        <v>2275680</v>
      </c>
      <c r="C56" s="6">
        <v>2501909.6648655371</v>
      </c>
      <c r="D56" s="6">
        <v>2599681.689378371</v>
      </c>
      <c r="E56" s="6">
        <f t="shared" si="0"/>
        <v>97772.024512833916</v>
      </c>
      <c r="F56" s="6"/>
      <c r="G56" s="7" t="s">
        <v>64</v>
      </c>
      <c r="H56" s="6">
        <v>80220.992928192107</v>
      </c>
      <c r="I56" s="6">
        <v>87925.838322273572</v>
      </c>
      <c r="J56" s="6">
        <v>25430.606402661393</v>
      </c>
      <c r="K56" s="6">
        <f t="shared" si="1"/>
        <v>-62495.231919612183</v>
      </c>
      <c r="L56" s="6"/>
    </row>
    <row r="57" spans="1:12" x14ac:dyDescent="0.25">
      <c r="A57" s="7" t="s">
        <v>65</v>
      </c>
      <c r="B57" s="6">
        <v>57252.814142904615</v>
      </c>
      <c r="C57" s="6">
        <v>62997.695431186396</v>
      </c>
      <c r="D57" s="6">
        <v>158776.37321059153</v>
      </c>
      <c r="E57" s="6">
        <f t="shared" si="0"/>
        <v>95778.67777940513</v>
      </c>
      <c r="F57" s="6"/>
      <c r="G57" s="7" t="s">
        <v>66</v>
      </c>
      <c r="H57" s="6">
        <v>248668.76290445638</v>
      </c>
      <c r="I57" s="6">
        <v>272033.68041880854</v>
      </c>
      <c r="J57" s="6">
        <v>217057.60693628585</v>
      </c>
      <c r="K57" s="6">
        <f t="shared" si="1"/>
        <v>-54976.073482522683</v>
      </c>
      <c r="L57" s="6"/>
    </row>
    <row r="58" spans="1:12" x14ac:dyDescent="0.25">
      <c r="A58" s="7" t="s">
        <v>67</v>
      </c>
      <c r="B58" s="6">
        <v>107826.33696189984</v>
      </c>
      <c r="C58" s="6">
        <v>118611.83348175029</v>
      </c>
      <c r="D58" s="6">
        <v>207987.21348175028</v>
      </c>
      <c r="E58" s="6">
        <f t="shared" si="0"/>
        <v>89375.37999999999</v>
      </c>
      <c r="F58" s="6"/>
      <c r="G58" s="7" t="s">
        <v>68</v>
      </c>
      <c r="H58" s="6">
        <v>47400</v>
      </c>
      <c r="I58" s="6">
        <v>52156.226870959872</v>
      </c>
      <c r="J58" s="6">
        <v>0</v>
      </c>
      <c r="K58" s="6">
        <f t="shared" si="1"/>
        <v>-52156.226870959872</v>
      </c>
      <c r="L58" s="6"/>
    </row>
    <row r="59" spans="1:12" x14ac:dyDescent="0.25">
      <c r="A59" s="7" t="s">
        <v>69</v>
      </c>
      <c r="B59" s="6">
        <v>375221.55324750004</v>
      </c>
      <c r="C59" s="6">
        <v>408621.10441633413</v>
      </c>
      <c r="D59" s="6">
        <v>487685.09721314698</v>
      </c>
      <c r="E59" s="6">
        <f t="shared" si="0"/>
        <v>79063.992796812847</v>
      </c>
      <c r="F59" s="6"/>
      <c r="G59" s="7" t="s">
        <v>70</v>
      </c>
      <c r="H59" s="6">
        <v>323000</v>
      </c>
      <c r="I59" s="6">
        <v>354939.64977887005</v>
      </c>
      <c r="J59" s="6">
        <v>305485.09274884663</v>
      </c>
      <c r="K59" s="6">
        <f t="shared" si="1"/>
        <v>-49454.557030023425</v>
      </c>
      <c r="L59" s="6"/>
    </row>
    <row r="60" spans="1:12" x14ac:dyDescent="0.25">
      <c r="A60" s="7" t="s">
        <v>71</v>
      </c>
      <c r="B60" s="6">
        <v>56042.988911999993</v>
      </c>
      <c r="C60" s="6">
        <v>60314.360595320351</v>
      </c>
      <c r="D60" s="6">
        <v>133693.47999999998</v>
      </c>
      <c r="E60" s="6">
        <f t="shared" si="0"/>
        <v>73379.11940467963</v>
      </c>
      <c r="F60" s="6"/>
      <c r="G60" s="7" t="s">
        <v>72</v>
      </c>
      <c r="H60" s="6">
        <v>44902.619999999995</v>
      </c>
      <c r="I60" s="6">
        <v>49408.253920263705</v>
      </c>
      <c r="J60" s="6">
        <v>0</v>
      </c>
      <c r="K60" s="6">
        <f t="shared" si="1"/>
        <v>-49408.253920263705</v>
      </c>
      <c r="L60" s="6"/>
    </row>
    <row r="61" spans="1:12" x14ac:dyDescent="0.25">
      <c r="A61" s="7" t="s">
        <v>73</v>
      </c>
      <c r="B61" s="6">
        <v>548700</v>
      </c>
      <c r="C61" s="6">
        <v>601097.62851195922</v>
      </c>
      <c r="D61" s="6">
        <v>668502.84143661801</v>
      </c>
      <c r="E61" s="6">
        <f t="shared" si="0"/>
        <v>67405.212924658787</v>
      </c>
      <c r="F61" s="6"/>
      <c r="G61" s="7" t="s">
        <v>74</v>
      </c>
      <c r="H61" s="6">
        <v>53834.780352640009</v>
      </c>
      <c r="I61" s="6">
        <v>59225.322341151899</v>
      </c>
      <c r="J61" s="6">
        <v>21171.357934263768</v>
      </c>
      <c r="K61" s="6">
        <f t="shared" si="1"/>
        <v>-38053.964406888132</v>
      </c>
      <c r="L61" s="6"/>
    </row>
    <row r="62" spans="1:12" x14ac:dyDescent="0.25">
      <c r="A62" s="7" t="s">
        <v>75</v>
      </c>
      <c r="B62" s="6">
        <v>632186.92102385126</v>
      </c>
      <c r="C62" s="6">
        <v>694336.65689924359</v>
      </c>
      <c r="D62" s="6">
        <v>757558.8628992436</v>
      </c>
      <c r="E62" s="6">
        <f t="shared" si="0"/>
        <v>63222.206000000006</v>
      </c>
      <c r="F62" s="6"/>
      <c r="G62" s="7" t="s">
        <v>76</v>
      </c>
      <c r="H62" s="6">
        <v>5441345.7542000003</v>
      </c>
      <c r="I62" s="6">
        <v>5962535.341289294</v>
      </c>
      <c r="J62" s="6">
        <v>5925790.8540378427</v>
      </c>
      <c r="K62" s="6">
        <f t="shared" si="1"/>
        <v>-36744.487251451239</v>
      </c>
      <c r="L62" s="6"/>
    </row>
    <row r="63" spans="1:12" x14ac:dyDescent="0.25">
      <c r="A63" s="7" t="s">
        <v>77</v>
      </c>
      <c r="B63" s="6">
        <v>83429.153030534027</v>
      </c>
      <c r="C63" s="6">
        <v>87642.37777688996</v>
      </c>
      <c r="D63" s="6">
        <v>145298.356</v>
      </c>
      <c r="E63" s="6">
        <f t="shared" si="0"/>
        <v>57655.97822311004</v>
      </c>
      <c r="F63" s="6"/>
      <c r="G63" s="7" t="s">
        <v>78</v>
      </c>
      <c r="H63" s="6">
        <v>233600</v>
      </c>
      <c r="I63" s="6">
        <v>256894.32588197562</v>
      </c>
      <c r="J63" s="6">
        <v>222076.63375866329</v>
      </c>
      <c r="K63" s="6">
        <f t="shared" si="1"/>
        <v>-34817.692123312328</v>
      </c>
      <c r="L63" s="6"/>
    </row>
    <row r="64" spans="1:12" x14ac:dyDescent="0.25">
      <c r="A64" s="7" t="s">
        <v>79</v>
      </c>
      <c r="B64" s="6">
        <v>2215133.855</v>
      </c>
      <c r="C64" s="6">
        <v>2437361.9630886614</v>
      </c>
      <c r="D64" s="6">
        <v>2483861.9630886614</v>
      </c>
      <c r="E64" s="6">
        <f t="shared" si="0"/>
        <v>46500</v>
      </c>
      <c r="F64" s="6"/>
      <c r="G64" s="7" t="s">
        <v>80</v>
      </c>
      <c r="H64" s="6">
        <v>47400</v>
      </c>
      <c r="I64" s="6">
        <v>52074.601313139894</v>
      </c>
      <c r="J64" s="6">
        <v>17801.34</v>
      </c>
      <c r="K64" s="6">
        <f t="shared" si="1"/>
        <v>-34273.261313139898</v>
      </c>
      <c r="L64" s="6"/>
    </row>
    <row r="65" spans="1:12" x14ac:dyDescent="0.25">
      <c r="A65" s="7" t="s">
        <v>81</v>
      </c>
      <c r="B65" s="6">
        <v>10819.4375</v>
      </c>
      <c r="C65" s="6">
        <v>11746.223671956868</v>
      </c>
      <c r="D65" s="6">
        <v>57845.723506970426</v>
      </c>
      <c r="E65" s="6">
        <f t="shared" si="0"/>
        <v>46099.499835013557</v>
      </c>
      <c r="F65" s="6"/>
      <c r="G65" s="7" t="s">
        <v>82</v>
      </c>
      <c r="H65" s="6">
        <v>650000.02933333337</v>
      </c>
      <c r="I65" s="6">
        <v>713899.37372633582</v>
      </c>
      <c r="J65" s="6">
        <v>682129.99926643865</v>
      </c>
      <c r="K65" s="6">
        <f t="shared" si="1"/>
        <v>-31769.374459897168</v>
      </c>
      <c r="L65" s="6"/>
    </row>
    <row r="66" spans="1:12" x14ac:dyDescent="0.25">
      <c r="A66" s="7" t="s">
        <v>83</v>
      </c>
      <c r="B66" s="6">
        <v>522720</v>
      </c>
      <c r="C66" s="6">
        <v>574204.25532855326</v>
      </c>
      <c r="D66" s="6">
        <v>615351.79254456575</v>
      </c>
      <c r="E66" s="6">
        <f t="shared" si="0"/>
        <v>41147.537216012483</v>
      </c>
      <c r="F66" s="6"/>
      <c r="G66" s="7" t="s">
        <v>84</v>
      </c>
      <c r="H66" s="6">
        <v>16719.925000000003</v>
      </c>
      <c r="I66" s="6">
        <v>18397.641383237002</v>
      </c>
      <c r="J66" s="6">
        <v>0</v>
      </c>
      <c r="K66" s="6">
        <f t="shared" si="1"/>
        <v>-18397.641383237002</v>
      </c>
      <c r="L66" s="6"/>
    </row>
    <row r="67" spans="1:12" x14ac:dyDescent="0.25">
      <c r="A67" s="7" t="s">
        <v>85</v>
      </c>
      <c r="B67" s="6">
        <v>384590.41845262051</v>
      </c>
      <c r="C67" s="6">
        <v>423181.12061629252</v>
      </c>
      <c r="D67" s="6">
        <v>463935.39261629252</v>
      </c>
      <c r="E67" s="6">
        <f t="shared" si="0"/>
        <v>40754.271999999997</v>
      </c>
      <c r="F67" s="6"/>
      <c r="G67" s="7" t="s">
        <v>86</v>
      </c>
      <c r="H67" s="6">
        <v>245360</v>
      </c>
      <c r="I67" s="6">
        <v>269418.21170744422</v>
      </c>
      <c r="J67" s="6">
        <v>252978.05884730394</v>
      </c>
      <c r="K67" s="6">
        <f t="shared" si="1"/>
        <v>-16440.152860140282</v>
      </c>
      <c r="L67" s="6"/>
    </row>
    <row r="68" spans="1:12" x14ac:dyDescent="0.25">
      <c r="A68" s="7" t="s">
        <v>87</v>
      </c>
      <c r="B68" s="6">
        <v>250000</v>
      </c>
      <c r="C68" s="6">
        <v>258670.94652034686</v>
      </c>
      <c r="D68" s="6">
        <v>281709.36</v>
      </c>
      <c r="E68" s="6">
        <f t="shared" si="0"/>
        <v>23038.413479653129</v>
      </c>
      <c r="F68" s="6"/>
      <c r="G68" s="7" t="s">
        <v>88</v>
      </c>
      <c r="H68" s="6">
        <v>26100</v>
      </c>
      <c r="I68" s="6">
        <v>28496.159208931313</v>
      </c>
      <c r="J68" s="6">
        <v>12192.85</v>
      </c>
      <c r="K68" s="6">
        <f t="shared" si="1"/>
        <v>-16303.309208931312</v>
      </c>
      <c r="L68" s="6"/>
    </row>
    <row r="69" spans="1:12" x14ac:dyDescent="0.25">
      <c r="A69" s="7" t="s">
        <v>89</v>
      </c>
      <c r="B69" s="6">
        <v>52787.786047755486</v>
      </c>
      <c r="C69" s="6">
        <v>58084.635973046934</v>
      </c>
      <c r="D69" s="6">
        <v>77678.225973046923</v>
      </c>
      <c r="E69" s="6">
        <f t="shared" si="0"/>
        <v>19593.589999999989</v>
      </c>
      <c r="F69" s="6"/>
      <c r="G69" s="7" t="s">
        <v>90</v>
      </c>
      <c r="H69" s="6">
        <v>379507.65</v>
      </c>
      <c r="I69" s="6">
        <v>416024.08795748133</v>
      </c>
      <c r="J69" s="6">
        <v>400158.23616089963</v>
      </c>
      <c r="K69" s="6">
        <f t="shared" si="1"/>
        <v>-15865.851796581701</v>
      </c>
      <c r="L69" s="6"/>
    </row>
    <row r="70" spans="1:12" x14ac:dyDescent="0.25">
      <c r="A70" s="7" t="s">
        <v>91</v>
      </c>
      <c r="B70" s="6">
        <v>400765.48</v>
      </c>
      <c r="C70" s="6">
        <v>439474.50785192783</v>
      </c>
      <c r="D70" s="6">
        <v>457993.70436862484</v>
      </c>
      <c r="E70" s="6">
        <f t="shared" si="0"/>
        <v>18519.196516697004</v>
      </c>
      <c r="F70" s="6"/>
      <c r="G70" s="7" t="s">
        <v>92</v>
      </c>
      <c r="H70" s="6">
        <v>90222.908418788778</v>
      </c>
      <c r="I70" s="6">
        <v>96636.264678799052</v>
      </c>
      <c r="J70" s="6">
        <v>85001.203459137629</v>
      </c>
      <c r="K70" s="6">
        <f t="shared" si="1"/>
        <v>-11635.061219661424</v>
      </c>
      <c r="L70" s="6"/>
    </row>
    <row r="71" spans="1:12" x14ac:dyDescent="0.25">
      <c r="A71" s="7" t="s">
        <v>93</v>
      </c>
      <c r="B71" s="6">
        <v>351700</v>
      </c>
      <c r="C71" s="6">
        <v>385920.15217851364</v>
      </c>
      <c r="D71" s="6">
        <v>401516.94060296775</v>
      </c>
      <c r="E71" s="6">
        <f t="shared" si="0"/>
        <v>15596.788424454106</v>
      </c>
      <c r="F71" s="6"/>
      <c r="G71" s="7" t="s">
        <v>94</v>
      </c>
      <c r="H71" s="6">
        <v>11403.052082228009</v>
      </c>
      <c r="I71" s="6">
        <v>12443.789295922272</v>
      </c>
      <c r="J71" s="6">
        <v>2500</v>
      </c>
      <c r="K71" s="6">
        <f t="shared" si="1"/>
        <v>-9943.7892959222718</v>
      </c>
      <c r="L71" s="6"/>
    </row>
    <row r="72" spans="1:12" ht="30" x14ac:dyDescent="0.25">
      <c r="A72" s="7" t="s">
        <v>95</v>
      </c>
      <c r="B72" s="6">
        <v>75836.522803676606</v>
      </c>
      <c r="C72" s="6">
        <v>83446.136887199988</v>
      </c>
      <c r="D72" s="6">
        <v>90532.932887199975</v>
      </c>
      <c r="E72" s="6">
        <f t="shared" si="0"/>
        <v>7086.7959999999875</v>
      </c>
      <c r="F72" s="6"/>
      <c r="G72" s="7" t="s">
        <v>96</v>
      </c>
      <c r="H72" s="6">
        <v>3600</v>
      </c>
      <c r="I72" s="6">
        <v>3961.2324205792306</v>
      </c>
      <c r="J72" s="6">
        <v>0</v>
      </c>
      <c r="K72" s="6">
        <f t="shared" si="1"/>
        <v>-3961.2324205792306</v>
      </c>
      <c r="L72" s="6"/>
    </row>
    <row r="73" spans="1:12" x14ac:dyDescent="0.25">
      <c r="A73" s="7" t="s">
        <v>97</v>
      </c>
      <c r="B73" s="6">
        <v>1288479.01</v>
      </c>
      <c r="C73" s="6">
        <v>1417768.0076799537</v>
      </c>
      <c r="D73" s="6">
        <v>1423409.2376799537</v>
      </c>
      <c r="E73" s="6">
        <f t="shared" si="0"/>
        <v>5641.2299999999814</v>
      </c>
      <c r="F73" s="6"/>
      <c r="G73" s="7" t="s">
        <v>98</v>
      </c>
      <c r="H73" s="6">
        <v>29550.53354690081</v>
      </c>
      <c r="I73" s="6">
        <v>32515.204598170272</v>
      </c>
      <c r="J73" s="6">
        <v>29009.887637604497</v>
      </c>
      <c r="K73" s="6">
        <f t="shared" si="1"/>
        <v>-3505.3169605657749</v>
      </c>
      <c r="L73" s="6"/>
    </row>
    <row r="74" spans="1:12" x14ac:dyDescent="0.25">
      <c r="A74" s="7" t="s">
        <v>99</v>
      </c>
      <c r="B74" s="6">
        <v>69401.564133824344</v>
      </c>
      <c r="C74" s="6">
        <v>76347.999948027136</v>
      </c>
      <c r="D74" s="6">
        <v>81865.739948027127</v>
      </c>
      <c r="E74" s="6">
        <f t="shared" si="0"/>
        <v>5517.7399999999907</v>
      </c>
      <c r="F74" s="6"/>
      <c r="G74" s="7" t="s">
        <v>100</v>
      </c>
      <c r="H74" s="6">
        <v>101074.42118806772</v>
      </c>
      <c r="I74" s="6">
        <v>111216.46502818173</v>
      </c>
      <c r="J74" s="6">
        <v>108757.64962313166</v>
      </c>
      <c r="K74" s="6">
        <f t="shared" si="1"/>
        <v>-2458.8154050500743</v>
      </c>
      <c r="L74" s="6"/>
    </row>
    <row r="75" spans="1:12" x14ac:dyDescent="0.25">
      <c r="A75" s="7" t="s">
        <v>101</v>
      </c>
      <c r="B75" s="6">
        <v>25747.928568365201</v>
      </c>
      <c r="C75" s="6">
        <v>28287.134418739417</v>
      </c>
      <c r="D75" s="6">
        <v>32143.734751860236</v>
      </c>
      <c r="E75" s="6">
        <f t="shared" si="0"/>
        <v>3856.6003331208194</v>
      </c>
      <c r="F75" s="6"/>
      <c r="G75" s="7" t="s">
        <v>102</v>
      </c>
      <c r="H75" s="6">
        <v>17815.142836013587</v>
      </c>
      <c r="I75" s="6">
        <v>19602.755938685234</v>
      </c>
      <c r="J75" s="6">
        <v>17858.41959306084</v>
      </c>
      <c r="K75" s="6">
        <f t="shared" si="1"/>
        <v>-1744.3363456243933</v>
      </c>
      <c r="L75" s="6"/>
    </row>
    <row r="76" spans="1:12" x14ac:dyDescent="0.25">
      <c r="A76" s="7" t="s">
        <v>103</v>
      </c>
      <c r="B76" s="6">
        <v>1335561.9885516798</v>
      </c>
      <c r="C76" s="6">
        <v>1469098.643101532</v>
      </c>
      <c r="D76" s="6">
        <v>1472298.643101532</v>
      </c>
      <c r="E76" s="6">
        <f t="shared" si="0"/>
        <v>3200</v>
      </c>
      <c r="F76" s="6"/>
      <c r="G76" s="7" t="s">
        <v>104</v>
      </c>
      <c r="H76" s="6">
        <v>40840.894970129266</v>
      </c>
      <c r="I76" s="6">
        <v>44938.96590031869</v>
      </c>
      <c r="J76" s="6">
        <v>43629.69394239071</v>
      </c>
      <c r="K76" s="6">
        <f t="shared" si="1"/>
        <v>-1309.2719579279801</v>
      </c>
      <c r="L76" s="6"/>
    </row>
    <row r="77" spans="1:12" x14ac:dyDescent="0.25">
      <c r="A77" s="7" t="s">
        <v>105</v>
      </c>
      <c r="B77" s="6">
        <v>47400</v>
      </c>
      <c r="C77" s="6">
        <v>52147.935404396259</v>
      </c>
      <c r="D77" s="6">
        <v>54956.226870959872</v>
      </c>
      <c r="E77" s="6">
        <f t="shared" si="0"/>
        <v>2808.2914665636126</v>
      </c>
      <c r="F77" s="6"/>
      <c r="G77" s="7" t="s">
        <v>106</v>
      </c>
      <c r="H77" s="6">
        <v>3994.042474296928</v>
      </c>
      <c r="I77" s="6">
        <v>4394.8140384320786</v>
      </c>
      <c r="J77" s="6">
        <v>4009.2261092732724</v>
      </c>
      <c r="K77" s="6">
        <f t="shared" si="1"/>
        <v>-385.58792915880622</v>
      </c>
      <c r="L77" s="6"/>
    </row>
    <row r="78" spans="1:12" x14ac:dyDescent="0.25">
      <c r="A78" s="7" t="s">
        <v>107</v>
      </c>
      <c r="B78" s="6">
        <v>41837.040000000001</v>
      </c>
      <c r="C78" s="6">
        <v>46035.066452519481</v>
      </c>
      <c r="D78" s="6">
        <v>47172.816452519481</v>
      </c>
      <c r="E78" s="6">
        <f t="shared" si="0"/>
        <v>1137.75</v>
      </c>
      <c r="F78" s="6"/>
      <c r="G78" s="7" t="s">
        <v>108</v>
      </c>
      <c r="H78" s="6">
        <v>163896.06145440001</v>
      </c>
      <c r="I78" s="6">
        <v>180341.77562178206</v>
      </c>
      <c r="J78" s="6">
        <v>180057.82562178205</v>
      </c>
      <c r="K78" s="6">
        <f t="shared" si="1"/>
        <v>-283.95000000001164</v>
      </c>
      <c r="L78" s="6"/>
    </row>
    <row r="79" spans="1:12" x14ac:dyDescent="0.25">
      <c r="A79" s="7" t="s">
        <v>109</v>
      </c>
      <c r="B79" s="6">
        <v>176569.91140400001</v>
      </c>
      <c r="C79" s="6">
        <v>194287.34932009096</v>
      </c>
      <c r="D79" s="6">
        <v>195117.77932009095</v>
      </c>
      <c r="E79" s="6">
        <f t="shared" si="0"/>
        <v>830.42999999999302</v>
      </c>
      <c r="F79" s="6"/>
      <c r="G79" s="7" t="s">
        <v>110</v>
      </c>
      <c r="H79" s="6">
        <v>24084.091797531873</v>
      </c>
      <c r="I79" s="6">
        <v>26500.745902386003</v>
      </c>
      <c r="J79" s="6">
        <v>26265.328378057136</v>
      </c>
      <c r="K79" s="6">
        <f t="shared" si="1"/>
        <v>-235.41752432886642</v>
      </c>
      <c r="L79" s="6"/>
    </row>
    <row r="80" spans="1:12" x14ac:dyDescent="0.25">
      <c r="A80" s="7" t="s">
        <v>111</v>
      </c>
      <c r="B80" s="6">
        <v>1818749.1038897291</v>
      </c>
      <c r="C80" s="6">
        <v>2001244.0463697994</v>
      </c>
      <c r="D80" s="6">
        <v>2001805.8431187263</v>
      </c>
      <c r="E80" s="6">
        <f t="shared" si="0"/>
        <v>561.79674892686307</v>
      </c>
      <c r="F80" s="6"/>
      <c r="G80" s="7" t="s">
        <v>112</v>
      </c>
      <c r="H80" s="6">
        <v>8420.2799999999988</v>
      </c>
      <c r="I80" s="6">
        <v>9265.190590654136</v>
      </c>
      <c r="J80" s="6">
        <v>9265.190590654136</v>
      </c>
      <c r="K80" s="6">
        <f t="shared" si="1"/>
        <v>0</v>
      </c>
      <c r="L80" s="6"/>
    </row>
    <row r="81" spans="1:12" x14ac:dyDescent="0.25">
      <c r="A81" s="7" t="s">
        <v>113</v>
      </c>
      <c r="B81" s="6">
        <v>220000</v>
      </c>
      <c r="C81" s="6">
        <v>241952.54893491842</v>
      </c>
      <c r="D81" s="6">
        <v>242369.70315291287</v>
      </c>
      <c r="E81" s="6">
        <f t="shared" si="0"/>
        <v>417.15421799445176</v>
      </c>
      <c r="F81" s="6"/>
      <c r="G81" s="7" t="s">
        <v>114</v>
      </c>
      <c r="H81" s="6">
        <v>1425.06</v>
      </c>
      <c r="I81" s="6">
        <v>1568.0538536862887</v>
      </c>
      <c r="J81" s="6">
        <v>1568.0538536862887</v>
      </c>
      <c r="K81" s="6">
        <f t="shared" si="1"/>
        <v>0</v>
      </c>
      <c r="L81" s="6"/>
    </row>
    <row r="82" spans="1:12" x14ac:dyDescent="0.25">
      <c r="A82" s="7"/>
      <c r="B82" s="6"/>
      <c r="C82" s="6"/>
      <c r="D82" s="6"/>
      <c r="E82" s="6">
        <f t="shared" si="0"/>
        <v>0</v>
      </c>
      <c r="F82" s="6"/>
      <c r="G82" s="7"/>
      <c r="H82" s="6"/>
      <c r="I82" s="6"/>
      <c r="J82" s="6"/>
      <c r="K82" s="6">
        <f t="shared" si="1"/>
        <v>0</v>
      </c>
      <c r="L82" s="6"/>
    </row>
  </sheetData>
  <mergeCells count="12">
    <mergeCell ref="C7:D7"/>
    <mergeCell ref="C8:D8"/>
    <mergeCell ref="A10:B10"/>
    <mergeCell ref="D10:F10"/>
    <mergeCell ref="A46:F46"/>
    <mergeCell ref="G46:L46"/>
    <mergeCell ref="A1:D1"/>
    <mergeCell ref="C2:D2"/>
    <mergeCell ref="C3:D3"/>
    <mergeCell ref="C4:D4"/>
    <mergeCell ref="C5:D5"/>
    <mergeCell ref="C6:D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ORÇAMENTO_RESUMO</vt:lpstr>
      <vt:lpstr>JARDINS</vt:lpstr>
      <vt:lpstr>MARIE CURIE</vt:lpstr>
      <vt:lpstr>UNIQUE</vt:lpstr>
      <vt:lpstr>AUGURI</vt:lpstr>
      <vt:lpstr>BOSSA</vt:lpstr>
      <vt:lpstr>ESSENZA</vt:lpstr>
      <vt:lpstr>VIVANT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2026-01-29T17:46:25Z</dcterms:modified>
</cp:coreProperties>
</file>